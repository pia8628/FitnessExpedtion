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J:\我的雲端硬碟\運動RPG系統\"/>
    </mc:Choice>
  </mc:AlternateContent>
  <xr:revisionPtr revIDLastSave="0" documentId="13_ncr:1_{3F83B354-658B-4F20-896A-7B0132099D12}" xr6:coauthVersionLast="46" xr6:coauthVersionMax="47" xr10:uidLastSave="{00000000-0000-0000-0000-000000000000}"/>
  <bookViews>
    <workbookView xWindow="-108" yWindow="-108" windowWidth="23256" windowHeight="12720" activeTab="8" xr2:uid="{00000000-000D-0000-FFFF-FFFF00000000}"/>
  </bookViews>
  <sheets>
    <sheet name="首頁" sheetId="1" r:id="rId1"/>
    <sheet name="角色狀態表" sheetId="2" r:id="rId2"/>
    <sheet name="任務列表" sheetId="3" r:id="rId3"/>
    <sheet name="技能狀態" sheetId="4" r:id="rId4"/>
    <sheet name="事件表" sheetId="5" r:id="rId5"/>
    <sheet name="怪物表" sheetId="6" r:id="rId6"/>
    <sheet name="紀錄頁面" sheetId="7" r:id="rId7"/>
    <sheet name="等級資料表" sheetId="8" r:id="rId8"/>
    <sheet name="職業技能表" sheetId="9" r:id="rId9"/>
    <sheet name="清單表" sheetId="10" r:id="rId10"/>
  </sheets>
  <definedNames>
    <definedName name="任務狀態">清單表!$E$2:$E$5</definedName>
    <definedName name="事件紀錄類型">清單表!$A$2:$A$13</definedName>
  </definedNames>
  <calcPr calcId="181029"/>
  <extLst>
    <ext uri="GoogleSheetsCustomDataVersion2">
      <go:sheetsCustomData xmlns:go="http://customooxmlschemas.google.com/" r:id="rId14" roundtripDataChecksum="Yi2VuHdsAUTdTWOD2Zy8xaAXc3snXX3D6Bnap4FOSYg="/>
    </ext>
  </extLst>
</workbook>
</file>

<file path=xl/calcChain.xml><?xml version="1.0" encoding="utf-8"?>
<calcChain xmlns="http://schemas.openxmlformats.org/spreadsheetml/2006/main">
  <c r="B13" i="9" l="1"/>
  <c r="D13" i="9"/>
  <c r="B12" i="9"/>
  <c r="D12" i="9"/>
  <c r="B3" i="9"/>
  <c r="D3" i="9"/>
  <c r="B4" i="9"/>
  <c r="D4" i="9"/>
  <c r="B19" i="9"/>
  <c r="D19" i="9"/>
  <c r="B15" i="9"/>
  <c r="D15" i="9"/>
  <c r="B16" i="9"/>
  <c r="D16" i="9"/>
  <c r="B9" i="9"/>
  <c r="D9" i="9"/>
  <c r="B10" i="9"/>
  <c r="D10" i="9"/>
  <c r="D2" i="9"/>
  <c r="E11" i="4" s="1"/>
  <c r="D5" i="9"/>
  <c r="D6" i="9"/>
  <c r="D7" i="9"/>
  <c r="D8" i="9"/>
  <c r="D11" i="9"/>
  <c r="D14" i="9"/>
  <c r="D17" i="9"/>
  <c r="D18" i="9"/>
  <c r="D20" i="9"/>
  <c r="D21" i="9"/>
  <c r="D22" i="9"/>
  <c r="D23" i="9"/>
  <c r="D24" i="9"/>
  <c r="D25" i="9"/>
  <c r="D26" i="9"/>
  <c r="D27" i="9"/>
  <c r="D28" i="9"/>
  <c r="K11" i="4"/>
  <c r="D11" i="4"/>
  <c r="H11" i="4" s="1"/>
  <c r="B20" i="9"/>
  <c r="B21" i="9"/>
  <c r="B22" i="9"/>
  <c r="B23" i="9"/>
  <c r="B24" i="9"/>
  <c r="B25" i="9"/>
  <c r="B26" i="9"/>
  <c r="B27" i="9"/>
  <c r="B28" i="9"/>
  <c r="B2" i="9"/>
  <c r="B5" i="9"/>
  <c r="B6" i="9"/>
  <c r="B7" i="9"/>
  <c r="B8" i="9"/>
  <c r="B11" i="9"/>
  <c r="B14" i="9"/>
  <c r="B17" i="9"/>
  <c r="B18" i="9"/>
  <c r="B11" i="4"/>
  <c r="F11" i="4"/>
  <c r="L11" i="4"/>
  <c r="C22" i="1" a="1"/>
  <c r="C22" i="1" s="1"/>
  <c r="L2" i="4"/>
  <c r="L3" i="4"/>
  <c r="L4" i="4"/>
  <c r="L5" i="4"/>
  <c r="L6" i="4"/>
  <c r="L7" i="4"/>
  <c r="L8" i="4"/>
  <c r="L9" i="4"/>
  <c r="L10" i="4"/>
  <c r="F2" i="4"/>
  <c r="F3" i="4"/>
  <c r="F4" i="4"/>
  <c r="F5" i="4"/>
  <c r="F6" i="4"/>
  <c r="F7" i="4"/>
  <c r="F8" i="4"/>
  <c r="F9" i="4"/>
  <c r="F10" i="4"/>
  <c r="D2" i="4"/>
  <c r="D3" i="4"/>
  <c r="D4" i="4"/>
  <c r="D5" i="4"/>
  <c r="D6" i="4"/>
  <c r="D7" i="4"/>
  <c r="D8" i="4"/>
  <c r="D9" i="4"/>
  <c r="D10" i="4"/>
  <c r="B2" i="4"/>
  <c r="B3" i="4"/>
  <c r="B4" i="4"/>
  <c r="B5" i="4"/>
  <c r="B6" i="4"/>
  <c r="B7" i="4"/>
  <c r="B8" i="4"/>
  <c r="B9" i="4"/>
  <c r="B10" i="4"/>
  <c r="C4" i="1"/>
  <c r="F3" i="3"/>
  <c r="F4" i="3"/>
  <c r="C21" i="1"/>
  <c r="D12" i="8" l="1"/>
  <c r="D13" i="8"/>
  <c r="D14" i="8"/>
  <c r="D15" i="8"/>
  <c r="D16" i="8"/>
  <c r="D11" i="8"/>
  <c r="D10" i="8"/>
  <c r="D9" i="8"/>
  <c r="D8" i="8"/>
  <c r="D7" i="8"/>
  <c r="D6" i="8"/>
  <c r="D5" i="8"/>
  <c r="D4" i="8"/>
  <c r="D3" i="8"/>
  <c r="K7" i="4"/>
  <c r="I7" i="4"/>
  <c r="H7" i="4" s="1"/>
  <c r="E7" i="4"/>
  <c r="K10" i="4"/>
  <c r="I10" i="4"/>
  <c r="H10" i="4" s="1"/>
  <c r="E10" i="4"/>
  <c r="K4" i="4"/>
  <c r="I4" i="4"/>
  <c r="H4" i="4" s="1"/>
  <c r="E4" i="4"/>
  <c r="K6" i="4"/>
  <c r="I6" i="4"/>
  <c r="H6" i="4" s="1"/>
  <c r="M4" i="2" s="1" a="1"/>
  <c r="M4" i="2" s="1"/>
  <c r="E6" i="4"/>
  <c r="K5" i="4"/>
  <c r="I5" i="4"/>
  <c r="H5" i="4" s="1"/>
  <c r="E5" i="4"/>
  <c r="K9" i="4"/>
  <c r="I9" i="4"/>
  <c r="H9" i="4" s="1"/>
  <c r="E9" i="4"/>
  <c r="K8" i="4"/>
  <c r="I8" i="4"/>
  <c r="H8" i="4" s="1"/>
  <c r="L3" i="2" s="1" a="1"/>
  <c r="L3" i="2" s="1"/>
  <c r="E8" i="4"/>
  <c r="K3" i="4"/>
  <c r="I3" i="4"/>
  <c r="H3" i="4" s="1"/>
  <c r="E3" i="4"/>
  <c r="K2" i="4"/>
  <c r="I2" i="4"/>
  <c r="H2" i="4" s="1"/>
  <c r="E2" i="4"/>
  <c r="J9" i="3"/>
  <c r="H9" i="3"/>
  <c r="G9" i="3"/>
  <c r="F9" i="3"/>
  <c r="E9" i="3"/>
  <c r="D9" i="3"/>
  <c r="C9" i="3"/>
  <c r="J8" i="3"/>
  <c r="H8" i="3"/>
  <c r="G8" i="3"/>
  <c r="F8" i="3"/>
  <c r="E8" i="3"/>
  <c r="D8" i="3"/>
  <c r="C8" i="3"/>
  <c r="J7" i="3"/>
  <c r="H7" i="3"/>
  <c r="G7" i="3"/>
  <c r="F7" i="3"/>
  <c r="E7" i="3"/>
  <c r="D7" i="3"/>
  <c r="C7" i="3"/>
  <c r="J6" i="3"/>
  <c r="H6" i="3"/>
  <c r="G6" i="3"/>
  <c r="F6" i="3"/>
  <c r="E6" i="3"/>
  <c r="D6" i="3"/>
  <c r="C6" i="3"/>
  <c r="J5" i="3"/>
  <c r="H5" i="3"/>
  <c r="G5" i="3"/>
  <c r="F5" i="3"/>
  <c r="E5" i="3"/>
  <c r="D5" i="3"/>
  <c r="C5" i="3"/>
  <c r="H4" i="3"/>
  <c r="G4" i="3"/>
  <c r="J4" i="3"/>
  <c r="E4" i="3"/>
  <c r="D4" i="3"/>
  <c r="C4" i="3"/>
  <c r="J3" i="3"/>
  <c r="H3" i="3"/>
  <c r="G3" i="3"/>
  <c r="E3" i="3"/>
  <c r="D3" i="3"/>
  <c r="C3" i="3"/>
  <c r="H2" i="3"/>
  <c r="G2" i="3"/>
  <c r="F2" i="3"/>
  <c r="J2" i="3" s="1"/>
  <c r="E2" i="3"/>
  <c r="D2" i="3"/>
  <c r="C2" i="3"/>
  <c r="F4" i="2"/>
  <c r="E4" i="2"/>
  <c r="F3" i="2"/>
  <c r="E3" i="2"/>
  <c r="F2" i="2"/>
  <c r="E2" i="2"/>
  <c r="C24" i="1" a="1"/>
  <c r="C24" i="1" s="1"/>
  <c r="C23" i="1" a="1"/>
  <c r="C23" i="1" s="1"/>
  <c r="C7" i="1"/>
  <c r="C6" i="1"/>
  <c r="M2" i="2" l="1" a="1"/>
  <c r="M2" i="2" s="1"/>
  <c r="M3" i="2" a="1"/>
  <c r="M3" i="2" s="1"/>
  <c r="N3" i="2" a="1"/>
  <c r="N3" i="2" s="1"/>
  <c r="N2" i="2" a="1"/>
  <c r="N2" i="2" s="1"/>
  <c r="L2" i="2"/>
  <c r="L4" i="2" a="1"/>
  <c r="L4" i="2" s="1"/>
  <c r="N4" i="2" a="1"/>
  <c r="N4" i="2" s="1"/>
  <c r="G2" i="2" l="1"/>
  <c r="G4" i="2"/>
  <c r="G3" i="2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<sst xmlns="http://schemas.openxmlformats.org/spreadsheetml/2006/main" count="522" uniqueCount="321">
  <si>
    <t>目前週數</t>
  </si>
  <si>
    <t>目前地點</t>
  </si>
  <si>
    <t>曙光森林</t>
  </si>
  <si>
    <t>地點圖片</t>
  </si>
  <si>
    <t>本週事件</t>
  </si>
  <si>
    <t>事件代碼</t>
  </si>
  <si>
    <t>B002</t>
  </si>
  <si>
    <t>敘　述</t>
  </si>
  <si>
    <t>說　明</t>
  </si>
  <si>
    <t>玩家狀態</t>
  </si>
  <si>
    <t>任務列表</t>
  </si>
  <si>
    <t>互動區</t>
  </si>
  <si>
    <t>此區只有抽牌功能，抽完需自行記錄抽牌結果。(每次excel變動會自動重新抽牌)</t>
  </si>
  <si>
    <t>抽事件結果</t>
  </si>
  <si>
    <t>抽怪物結果</t>
  </si>
  <si>
    <t>本週紀錄</t>
  </si>
  <si>
    <t>日期</t>
  </si>
  <si>
    <t>週數</t>
  </si>
  <si>
    <t>玩家</t>
  </si>
  <si>
    <t>類型</t>
  </si>
  <si>
    <t>代碼</t>
  </si>
  <si>
    <t>名稱</t>
  </si>
  <si>
    <t>效果說明</t>
  </si>
  <si>
    <t>HP變化</t>
  </si>
  <si>
    <t>MP變化</t>
  </si>
  <si>
    <t>EXP變化</t>
  </si>
  <si>
    <t>當前HP</t>
  </si>
  <si>
    <t>當前MP</t>
  </si>
  <si>
    <t>當前EXP</t>
  </si>
  <si>
    <t>環境</t>
  </si>
  <si>
    <t>旁白</t>
  </si>
  <si>
    <t>開場旁白</t>
  </si>
  <si>
    <t>當你們踏入曙光森林時，晨光穿過樹葉。
這裡不是危險之地，但森林會用一些小試煉，確認你們是否真的準備好踏上旅程。</t>
  </si>
  <si>
    <t>抽事件</t>
  </si>
  <si>
    <t>精靈的足跡</t>
  </si>
  <si>
    <t>本週拍一張自然照（綠地、公園），全員 +2 EXP</t>
  </si>
  <si>
    <t>Huei</t>
  </si>
  <si>
    <t>抽怪物</t>
  </si>
  <si>
    <t>A001</t>
  </si>
  <si>
    <t>森林小史萊姆</t>
  </si>
  <si>
    <t>伸展 10 分鐘 / 深蹲 20 下</t>
  </si>
  <si>
    <t>Jialin</t>
  </si>
  <si>
    <t>A002</t>
  </si>
  <si>
    <t>路邊蘑菇怪</t>
  </si>
  <si>
    <t>快走 15 分鐘</t>
  </si>
  <si>
    <t>Jolin</t>
  </si>
  <si>
    <t>A003</t>
  </si>
  <si>
    <t>閃光精靈・微光</t>
  </si>
  <si>
    <t>瑜伽或伸展 12 分鐘</t>
  </si>
  <si>
    <t>擊敗怪物</t>
  </si>
  <si>
    <t>使用技能</t>
  </si>
  <si>
    <t>ThA001</t>
  </si>
  <si>
    <t>延長時限</t>
  </si>
  <si>
    <t>+1 天挑戰時間</t>
  </si>
  <si>
    <t>職業</t>
  </si>
  <si>
    <t>等級</t>
  </si>
  <si>
    <t>EXP</t>
  </si>
  <si>
    <t>HP</t>
  </si>
  <si>
    <t>MP</t>
  </si>
  <si>
    <t>技能摘要</t>
  </si>
  <si>
    <t>HP當前</t>
  </si>
  <si>
    <t>MP當前</t>
  </si>
  <si>
    <t>HP上限</t>
  </si>
  <si>
    <t>MP上限</t>
  </si>
  <si>
    <t>🗡️盜賊</t>
  </si>
  <si>
    <t>🏹弓箭手</t>
  </si>
  <si>
    <t>🔮法師</t>
  </si>
  <si>
    <t>怪物ID</t>
  </si>
  <si>
    <t>怪物名稱</t>
  </si>
  <si>
    <t>難度</t>
  </si>
  <si>
    <t>任務內容</t>
  </si>
  <si>
    <t>時限</t>
  </si>
  <si>
    <t>成功EXP</t>
  </si>
  <si>
    <t>失敗-HP</t>
  </si>
  <si>
    <t>開始日</t>
  </si>
  <si>
    <t>截止日</t>
  </si>
  <si>
    <t>狀態</t>
  </si>
  <si>
    <t>技能ID</t>
  </si>
  <si>
    <t>技能名稱</t>
  </si>
  <si>
    <t>主被動</t>
  </si>
  <si>
    <t>MP消耗</t>
  </si>
  <si>
    <t>啟用狀態</t>
  </si>
  <si>
    <t>顯示字串</t>
  </si>
  <si>
    <t>每週可用總次數</t>
  </si>
  <si>
    <t>剩餘次數</t>
  </si>
  <si>
    <t>次數重置規則</t>
  </si>
  <si>
    <t>技能效果說明</t>
  </si>
  <si>
    <t>GeA001</t>
  </si>
  <si>
    <t>Y</t>
  </si>
  <si>
    <t>GeA002</t>
  </si>
  <si>
    <t>ArA001</t>
  </si>
  <si>
    <t>MaA001</t>
  </si>
  <si>
    <t>事件編號</t>
  </si>
  <si>
    <t>事件類型</t>
  </si>
  <si>
    <t>事件名稱</t>
  </si>
  <si>
    <t>效果代碼</t>
  </si>
  <si>
    <t>事件敘述</t>
  </si>
  <si>
    <t>事件影響(數值)</t>
  </si>
  <si>
    <t>說明</t>
  </si>
  <si>
    <t>增益</t>
  </si>
  <si>
    <t>晨光祝福</t>
  </si>
  <si>
    <t>ALL_MP+1</t>
  </si>
  <si>
    <t>森林光芒灑落，讓小隊精神提升。</t>
  </si>
  <si>
    <t>全隊 +1 MP</t>
  </si>
  <si>
    <t>IF_OUTDOOR_PHOTO_THEN_EXP+2</t>
  </si>
  <si>
    <t>精靈曾經在此停留，帶來靈氣。</t>
  </si>
  <si>
    <t>天氣晴朗</t>
  </si>
  <si>
    <t>IF_OUTDOOR_EXERCISE_THEN_EXP+2</t>
  </si>
  <si>
    <t>天氣那麼好，值得出去探險。</t>
  </si>
  <si>
    <t>若本週有一次戶外運動，額外 +2 EXP</t>
  </si>
  <si>
    <t>治癒之泉</t>
  </si>
  <si>
    <t>ALL_HP+2</t>
  </si>
  <si>
    <t>在森林深處找到發光泉水，體力恢復。</t>
  </si>
  <si>
    <t>全員 +2 HP</t>
  </si>
  <si>
    <t>挑戰</t>
  </si>
  <si>
    <t>黑霧蔓延</t>
  </si>
  <si>
    <t>ALL_MONSTER_LV+1;BONUS_EXP+3</t>
  </si>
  <si>
    <t>黑霧變濃，但挑戰也帶來更多成長。</t>
  </si>
  <si>
    <t>本週怪物難度 +1 階；擊敗怪物額外 +3 EXP</t>
  </si>
  <si>
    <t>精靈惡作劇</t>
  </si>
  <si>
    <t>MONSTER_TIME-1_DAY</t>
  </si>
  <si>
    <t>淘氣的精靈偷走時間。</t>
  </si>
  <si>
    <t>怪物時限縮短 1 天</t>
  </si>
  <si>
    <t>月蝕之夜</t>
  </si>
  <si>
    <t>REST_MP_RECOVERY_DISABLED</t>
  </si>
  <si>
    <t>月光被遮蔽，魔力恢復受阻。</t>
  </si>
  <si>
    <t>本週休息打卡無法回 MP</t>
  </si>
  <si>
    <t>森林寒潮</t>
  </si>
  <si>
    <t>FIRST_EXERCISE_EXP=1</t>
  </si>
  <si>
    <t>寒冷削弱了身體啟動的能量。</t>
  </si>
  <si>
    <t>全員本週第一次完成運動只獲得 1 EXP</t>
  </si>
  <si>
    <t>中立</t>
  </si>
  <si>
    <t>迷霧裂隙</t>
  </si>
  <si>
    <t>CHOICE_MONSTER_LV-1_OR_LV+1_BONUS_EXP+5</t>
  </si>
  <si>
    <t>裂隙帶來危險與機會。</t>
  </si>
  <si>
    <t>抽完怪物卡後，可選 A：怪物難度 -1；B：怪物難度 +1 但成功 EXP +5</t>
  </si>
  <si>
    <t>古樹試煉</t>
  </si>
  <si>
    <t>EXTRA_WORKOUT_MVP_EXP+5</t>
  </si>
  <si>
    <t>古樹向你發出挑戰。</t>
  </si>
  <si>
    <t>當週任一成員若完成額外一次運動，該人成為 MVP，額外 +5 EXP</t>
  </si>
  <si>
    <t>命運之輪</t>
  </si>
  <si>
    <t>REDRAW_ALL_MONSTERS</t>
  </si>
  <si>
    <t>運氣之風正在轉動。</t>
  </si>
  <si>
    <t>所有人重新抽一次怪物</t>
  </si>
  <si>
    <t>森林守護者的凝視</t>
  </si>
  <si>
    <t>IF_TEAM_COMBO_THEN_ALL_EXP+3</t>
  </si>
  <si>
    <t>守護者默默觀察著你們的合作精神。</t>
  </si>
  <si>
    <t>本週如果小隊至少使用一次合體技 → 全員 +3 EXP</t>
  </si>
  <si>
    <t>怪物編號</t>
  </si>
  <si>
    <t>怪物分類</t>
  </si>
  <si>
    <t>敘述</t>
  </si>
  <si>
    <t>怪物等級</t>
  </si>
  <si>
    <t>怪物圖片連結</t>
  </si>
  <si>
    <t>時限(天)</t>
  </si>
  <si>
    <t>失敗HP</t>
  </si>
  <si>
    <t>備註</t>
  </si>
  <si>
    <t>初階區</t>
  </si>
  <si>
    <t>住在曙光森林入口的黏黏小怪物。</t>
  </si>
  <si>
    <t>易</t>
  </si>
  <si>
    <t>會在腳邊跳來跳去的活蘑菇。</t>
  </si>
  <si>
    <t>閃爍的小精靈，用光試探冒險者的耐心。</t>
  </si>
  <si>
    <t>搗蛋松果獸</t>
  </si>
  <si>
    <t>會對你丟樹葉的小麻煩。</t>
  </si>
  <si>
    <t>核心訓練 6 分鐘</t>
  </si>
  <si>
    <t>冒險區</t>
  </si>
  <si>
    <t>樹妖巡守者</t>
  </si>
  <si>
    <t>守護森林邊界，觀察你是否值得通過。</t>
  </si>
  <si>
    <t>中</t>
  </si>
  <si>
    <t>核心訓練 12 分鐘 / 健走 25 分鐘</t>
  </si>
  <si>
    <t>狼影幻獸</t>
  </si>
  <si>
    <t>會出現在影子中，測試冒險者的敏捷。</t>
  </si>
  <si>
    <t>跑步或快走 20 分鐘</t>
  </si>
  <si>
    <t>迷霧鴉</t>
  </si>
  <si>
    <t>牠的叫聲會讓人迷路。</t>
  </si>
  <si>
    <t>HIIT 5 分鐘</t>
  </si>
  <si>
    <t>森林之眼・浮空魔瞳</t>
  </si>
  <si>
    <t>一顆盯著你的浮空眼睛，考驗你的意志力。</t>
  </si>
  <si>
    <t>有氧舞蹈 15 分鐘</t>
  </si>
  <si>
    <t>Boss前級</t>
  </si>
  <si>
    <t>森林魔角鹿</t>
  </si>
  <si>
    <t>平時溫馴，但一旦受黑霧驚動就會狂奔。</t>
  </si>
  <si>
    <t>難</t>
  </si>
  <si>
    <t>跑步 2 公里</t>
  </si>
  <si>
    <t>岩殼小魔傀</t>
  </si>
  <si>
    <t>全身覆蓋岩層，堅硬但行動慢。</t>
  </si>
  <si>
    <t>肌力訓練 25 分鐘</t>
  </si>
  <si>
    <t>三尾狐魂・月影</t>
  </si>
  <si>
    <t>速度快、姿態優雅，會與冒險者比耐力。</t>
  </si>
  <si>
    <t>舞蹈燃脂 20 分鐘</t>
  </si>
  <si>
    <t>黑霧怨靈</t>
  </si>
  <si>
    <t>森林中黑霧濃度最高的地區才會遇到。</t>
  </si>
  <si>
    <t>HIIT 8 分鐘 或 核心 15 分鐘</t>
  </si>
  <si>
    <t>HP上限增加值(累計</t>
  </si>
  <si>
    <t>MP上限增加值(累計)</t>
  </si>
  <si>
    <t>升級所需經驗值(累積)</t>
  </si>
  <si>
    <t>技能編碼</t>
  </si>
  <si>
    <t>主動被動</t>
  </si>
  <si>
    <t>消耗MP</t>
  </si>
  <si>
    <t>效果數值</t>
  </si>
  <si>
    <t>每週可用次數</t>
  </si>
  <si>
    <t>技能敘述</t>
  </si>
  <si>
    <t>急救</t>
  </si>
  <si>
    <t>每週重置</t>
  </si>
  <si>
    <t>+1 HP 給對方</t>
  </si>
  <si>
    <t>合體技</t>
  </si>
  <si>
    <t>雙方消耗各 1 MP，你們可同時運動 10–15 分鐘 → 統一視為「合體擊破」，成功後：任務 EXP ×2</t>
  </si>
  <si>
    <t>PrA001</t>
  </si>
  <si>
    <t>治療</t>
  </si>
  <si>
    <t>弱化怪物</t>
  </si>
  <si>
    <t>將對方怪物難度降一級（難→中、中→易）</t>
  </si>
  <si>
    <t>遠距支援</t>
  </si>
  <si>
    <t>指定一名隊友，其下一次怪物失敗時不扣 HP</t>
  </si>
  <si>
    <t>MaP002</t>
  </si>
  <si>
    <t>恢復光環</t>
  </si>
  <si>
    <t>永久</t>
  </si>
  <si>
    <t>每完成 2 次運動，自動回 1 MP（每週上限 2）</t>
  </si>
  <si>
    <t>SwP001</t>
  </si>
  <si>
    <t>韌性</t>
  </si>
  <si>
    <t>怪物造成 HP 減少 -1（最低失血 1）</t>
  </si>
  <si>
    <t>ThP001</t>
  </si>
  <si>
    <t>連鎖攻擊</t>
  </si>
  <si>
    <t>連續兩天都運動 → 第二天多 +1 EXP</t>
  </si>
  <si>
    <t>事件紀錄類型</t>
  </si>
  <si>
    <t>任務狀態</t>
  </si>
  <si>
    <t>Ge</t>
  </si>
  <si>
    <t>通用</t>
  </si>
  <si>
    <r>
      <rPr>
        <sz val="11"/>
        <color theme="1"/>
        <rFont val="Segoe UI Symbol"/>
        <family val="2"/>
      </rPr>
      <t>✅</t>
    </r>
    <r>
      <rPr>
        <sz val="11"/>
        <color theme="1"/>
        <rFont val="新細明體"/>
        <family val="1"/>
        <charset val="136"/>
      </rPr>
      <t>擊殺</t>
    </r>
  </si>
  <si>
    <t>Sw</t>
  </si>
  <si>
    <t>劍士</t>
  </si>
  <si>
    <t>升級重置</t>
  </si>
  <si>
    <r>
      <rPr>
        <sz val="11"/>
        <color theme="1"/>
        <rFont val="Segoe UI Emoji"/>
        <family val="2"/>
      </rPr>
      <t>⚔️</t>
    </r>
    <r>
      <rPr>
        <sz val="11"/>
        <color theme="1"/>
        <rFont val="新細明體"/>
        <family val="1"/>
        <charset val="136"/>
      </rPr>
      <t>進行中</t>
    </r>
  </si>
  <si>
    <t>Ma</t>
  </si>
  <si>
    <t>法師</t>
  </si>
  <si>
    <r>
      <rPr>
        <sz val="11"/>
        <color theme="1"/>
        <rFont val="Segoe UI Emoji"/>
        <family val="2"/>
      </rPr>
      <t>☠️</t>
    </r>
    <r>
      <rPr>
        <sz val="11"/>
        <color theme="1"/>
        <rFont val="新細明體"/>
        <family val="1"/>
        <charset val="136"/>
      </rPr>
      <t>失敗</t>
    </r>
  </si>
  <si>
    <t>升級</t>
  </si>
  <si>
    <t>Th</t>
  </si>
  <si>
    <t>盜賊</t>
  </si>
  <si>
    <t>未開始</t>
  </si>
  <si>
    <t>Ar</t>
  </si>
  <si>
    <t>弓箭手</t>
  </si>
  <si>
    <t>失敗</t>
  </si>
  <si>
    <t>Pr</t>
  </si>
  <si>
    <t>牧師</t>
  </si>
  <si>
    <t>對象</t>
    <phoneticPr fontId="18" type="noConversion"/>
  </si>
  <si>
    <t>完成事件任務</t>
  </si>
  <si>
    <t>完成事件任務</t>
    <phoneticPr fontId="18" type="noConversion"/>
  </si>
  <si>
    <t>Self</t>
  </si>
  <si>
    <t>All</t>
  </si>
  <si>
    <t>Jialin</t>
    <phoneticPr fontId="18" type="noConversion"/>
  </si>
  <si>
    <t>EvB001</t>
    <phoneticPr fontId="18" type="noConversion"/>
  </si>
  <si>
    <t>EvB002</t>
    <phoneticPr fontId="18" type="noConversion"/>
  </si>
  <si>
    <t>EvB003</t>
    <phoneticPr fontId="18" type="noConversion"/>
  </si>
  <si>
    <t>EvB004</t>
    <phoneticPr fontId="18" type="noConversion"/>
  </si>
  <si>
    <t>EvD001</t>
    <phoneticPr fontId="18" type="noConversion"/>
  </si>
  <si>
    <t>EvD002</t>
    <phoneticPr fontId="18" type="noConversion"/>
  </si>
  <si>
    <t>EvD003</t>
    <phoneticPr fontId="18" type="noConversion"/>
  </si>
  <si>
    <t>EvD004</t>
    <phoneticPr fontId="18" type="noConversion"/>
  </si>
  <si>
    <t>EvN001</t>
    <phoneticPr fontId="18" type="noConversion"/>
  </si>
  <si>
    <t>EvN002</t>
    <phoneticPr fontId="18" type="noConversion"/>
  </si>
  <si>
    <t>EvN003</t>
    <phoneticPr fontId="18" type="noConversion"/>
  </si>
  <si>
    <t>EvN004</t>
    <phoneticPr fontId="18" type="noConversion"/>
  </si>
  <si>
    <t>MnA001</t>
    <phoneticPr fontId="18" type="noConversion"/>
  </si>
  <si>
    <t>MnA002</t>
  </si>
  <si>
    <t>MnA002</t>
    <phoneticPr fontId="18" type="noConversion"/>
  </si>
  <si>
    <t>MnA003</t>
    <phoneticPr fontId="18" type="noConversion"/>
  </si>
  <si>
    <t>MnA004</t>
  </si>
  <si>
    <t>MnA004</t>
    <phoneticPr fontId="18" type="noConversion"/>
  </si>
  <si>
    <t>MnB001</t>
  </si>
  <si>
    <t>MnB001</t>
    <phoneticPr fontId="18" type="noConversion"/>
  </si>
  <si>
    <t>MnB002</t>
    <phoneticPr fontId="18" type="noConversion"/>
  </si>
  <si>
    <t>MnB003</t>
    <phoneticPr fontId="18" type="noConversion"/>
  </si>
  <si>
    <t>MnB004</t>
    <phoneticPr fontId="18" type="noConversion"/>
  </si>
  <si>
    <t>MnC001</t>
    <phoneticPr fontId="18" type="noConversion"/>
  </si>
  <si>
    <t>MnC002</t>
    <phoneticPr fontId="18" type="noConversion"/>
  </si>
  <si>
    <t>MnC003</t>
    <phoneticPr fontId="18" type="noConversion"/>
  </si>
  <si>
    <t>MnC004</t>
    <phoneticPr fontId="18" type="noConversion"/>
  </si>
  <si>
    <t>森林的低語</t>
    <phoneticPr fontId="18" type="noConversion"/>
  </si>
  <si>
    <t>EvB005</t>
  </si>
  <si>
    <t>森林變得安靜，彷彿在等待你們的回應。</t>
    <phoneticPr fontId="18" type="noConversion"/>
  </si>
  <si>
    <t>本週 第一位完成怪物任務的玩家 → +1 MP。只觸發一次</t>
    <phoneticPr fontId="18" type="noConversion"/>
  </si>
  <si>
    <t>EvB005</t>
    <phoneticPr fontId="18" type="noConversion"/>
  </si>
  <si>
    <t>✅擊殺</t>
  </si>
  <si>
    <t>升級至2</t>
  </si>
  <si>
    <t>MP/HP+1，抽被動技能卡：恢復光環</t>
  </si>
  <si>
    <t>MaP001</t>
    <phoneticPr fontId="18" type="noConversion"/>
  </si>
  <si>
    <r>
      <t>M</t>
    </r>
    <r>
      <rPr>
        <sz val="11"/>
        <color theme="1"/>
        <rFont val="Calibri"/>
        <family val="2"/>
        <scheme val="minor"/>
      </rPr>
      <t>aP001</t>
    </r>
    <phoneticPr fontId="18" type="noConversion"/>
  </si>
  <si>
    <t>Y</t>
    <phoneticPr fontId="18" type="noConversion"/>
  </si>
  <si>
    <t>精靈的足跡在林間逐漸淡去。
森林似乎在觀察你們——
是否能在更不確定的情況下，維持行動的節奏。</t>
  </si>
  <si>
    <t>B004</t>
  </si>
  <si>
    <t>森林的低語</t>
  </si>
  <si>
    <t>本週 第一位完成怪物任務的玩家 → +1 MP</t>
  </si>
  <si>
    <t>核心訓練 12 分鐘或健走 25 分鐘</t>
  </si>
  <si>
    <t>ThA002</t>
    <phoneticPr fontId="18" type="noConversion"/>
  </si>
  <si>
    <t>臨時接手</t>
    <phoneticPr fontId="18" type="noConversion"/>
  </si>
  <si>
    <t>當一名隊友尚未完成任務時，你可以額外完成一次運動 → 替該隊友抵銷 1 點失敗 HP</t>
  </si>
  <si>
    <t>MaP003</t>
  </si>
  <si>
    <t>餘燼計算</t>
    <phoneticPr fontId="18" type="noConversion"/>
  </si>
  <si>
    <t>法術殘響</t>
    <phoneticPr fontId="18" type="noConversion"/>
  </si>
  <si>
    <t>每週第一次使用 Debuff 或 Heal 類技能，MP 消耗 -1</t>
    <phoneticPr fontId="18" type="noConversion"/>
  </si>
  <si>
    <t>當你成功使用 Debuff 或 Heal 類技能，下一次怪物任務成功時 +1 EXP</t>
    <phoneticPr fontId="18" type="noConversion"/>
  </si>
  <si>
    <t>SwP002</t>
  </si>
  <si>
    <t>SwP003</t>
  </si>
  <si>
    <t>鋼鐵意志</t>
    <phoneticPr fontId="18" type="noConversion"/>
  </si>
  <si>
    <t>前線守護</t>
    <phoneticPr fontId="18" type="noConversion"/>
  </si>
  <si>
    <t>每週第一次怪物失敗時 **HP 損失 -1**（最低仍為 1）</t>
    <phoneticPr fontId="18" type="noConversion"/>
  </si>
  <si>
    <t>當你與隊友使用 合體技 時，該次合體技結算後，你 +1 HP</t>
    <phoneticPr fontId="18" type="noConversion"/>
  </si>
  <si>
    <t>ThP002</t>
  </si>
  <si>
    <t>暗影步伐</t>
    <phoneticPr fontId="18" type="noConversion"/>
  </si>
  <si>
    <t>若你是本週第一位完成怪物任務的玩家+1 EXP</t>
    <phoneticPr fontId="18" type="noConversion"/>
  </si>
  <si>
    <t>耐心獵手</t>
    <phoneticPr fontId="18" type="noConversion"/>
  </si>
  <si>
    <t>ArP001</t>
    <phoneticPr fontId="18" type="noConversion"/>
  </si>
  <si>
    <t>ArP002</t>
  </si>
  <si>
    <t>遠距校準</t>
    <phoneticPr fontId="18" type="noConversion"/>
  </si>
  <si>
    <t>每週第一次怪物任務，完成即可獲得 +1 EXP</t>
    <phoneticPr fontId="18" type="noConversion"/>
  </si>
  <si>
    <t>若你在任務時限最後 24 小時內完成，額外 +1 EXP</t>
    <phoneticPr fontId="18" type="noConversion"/>
  </si>
  <si>
    <t>PrP001</t>
    <phoneticPr fontId="18" type="noConversion"/>
  </si>
  <si>
    <t>溫和引導</t>
    <phoneticPr fontId="18" type="noConversion"/>
  </si>
  <si>
    <t>當你對隊友使用 Heal 或急救該，隊友下一次任務 EXP +1</t>
    <phoneticPr fontId="18" type="noConversion"/>
  </si>
  <si>
    <t>PrP002</t>
  </si>
  <si>
    <t>共感回饋</t>
  </si>
  <si>
    <t>當隊友完成怪物任務，若你本週曾對該隊友使用過救援技能，你 +1 MP（每週最多 2 次）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</si>
</sst>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mm/dd"/>
  </numFmts>
  <fonts count="19">
    <font>
      <sz val="11"/>
      <color theme="1"/>
      <name val="Calibri"/>
      <scheme val="minor"/>
    </font>
    <font>
      <sz val="11"/>
      <color theme="1"/>
      <name val="Microsoft JhengHei"/>
      <family val="2"/>
      <charset val="136"/>
    </font>
    <font>
      <b/>
      <sz val="11"/>
      <color theme="1"/>
      <name val="Microsoft JhengHei"/>
      <family val="2"/>
      <charset val="136"/>
    </font>
    <font>
      <b/>
      <sz val="11"/>
      <color rgb="FF0070C0"/>
      <name val="Microsoft JhengHei"/>
      <family val="2"/>
      <charset val="136"/>
    </font>
    <font>
      <b/>
      <sz val="14"/>
      <color rgb="FF76923C"/>
      <name val="Microsoft JhengHei"/>
      <family val="2"/>
      <charset val="136"/>
    </font>
    <font>
      <b/>
      <sz val="12"/>
      <color rgb="FFC00000"/>
      <name val="Microsoft JhengHei"/>
      <family val="2"/>
      <charset val="136"/>
    </font>
    <font>
      <sz val="11"/>
      <color rgb="FF7F7F7F"/>
      <name val="Microsoft JhengHei"/>
      <family val="2"/>
      <charset val="136"/>
    </font>
    <font>
      <b/>
      <sz val="11"/>
      <color theme="1"/>
      <name val="PMingLiu"/>
      <family val="1"/>
      <charset val="136"/>
    </font>
    <font>
      <sz val="11"/>
      <color rgb="FFFFFFFF"/>
      <name val="Microsoft JhengHei"/>
      <family val="2"/>
      <charset val="136"/>
    </font>
    <font>
      <sz val="11"/>
      <color rgb="FFFFFFFF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Microsoft JhengHei"/>
      <family val="2"/>
      <charset val="136"/>
    </font>
    <font>
      <b/>
      <sz val="11"/>
      <color rgb="FFFFFFFF"/>
      <name val="PMingLiu"/>
      <family val="1"/>
      <charset val="136"/>
    </font>
    <font>
      <b/>
      <sz val="11"/>
      <color theme="0"/>
      <name val="Microsoft JhengHei"/>
      <family val="2"/>
      <charset val="136"/>
    </font>
    <font>
      <sz val="11"/>
      <color theme="1"/>
      <name val="PMingLiu"/>
      <family val="1"/>
      <charset val="136"/>
    </font>
    <font>
      <sz val="11"/>
      <color theme="1"/>
      <name val="Segoe UI Symbol"/>
      <family val="2"/>
    </font>
    <font>
      <sz val="11"/>
      <color theme="1"/>
      <name val="新細明體"/>
      <family val="1"/>
      <charset val="136"/>
    </font>
    <font>
      <sz val="11"/>
      <color theme="1"/>
      <name val="Segoe UI Emoji"/>
      <family val="2"/>
    </font>
    <font>
      <sz val="9"/>
      <name val="Calibri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6E3BC"/>
        <bgColor rgb="FFD6E3BC"/>
      </patternFill>
    </fill>
    <fill>
      <patternFill patternType="solid">
        <fgColor rgb="FFF2DBDB"/>
        <bgColor rgb="FFF2DBDB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/>
    <xf numFmtId="17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quotePrefix="1" applyFont="1" applyBorder="1"/>
    <xf numFmtId="0" fontId="2" fillId="3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/>
    <xf numFmtId="0" fontId="1" fillId="0" borderId="0" xfId="0" applyFont="1" applyAlignment="1">
      <alignment horizontal="center"/>
    </xf>
    <xf numFmtId="176" fontId="1" fillId="0" borderId="0" xfId="0" applyNumberFormat="1" applyFont="1" applyAlignment="1">
      <alignment horizontal="center"/>
    </xf>
    <xf numFmtId="0" fontId="9" fillId="0" borderId="0" xfId="0" applyFont="1"/>
    <xf numFmtId="0" fontId="10" fillId="0" borderId="0" xfId="0" applyFont="1"/>
    <xf numFmtId="0" fontId="11" fillId="0" borderId="2" xfId="0" applyFont="1" applyBorder="1" applyAlignment="1">
      <alignment horizontal="center" vertical="top"/>
    </xf>
    <xf numFmtId="0" fontId="12" fillId="0" borderId="2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13" fillId="0" borderId="1" xfId="0" applyFont="1" applyBorder="1" applyAlignment="1">
      <alignment horizontal="center" vertical="top"/>
    </xf>
    <xf numFmtId="0" fontId="1" fillId="0" borderId="0" xfId="0" quotePrefix="1" applyFont="1"/>
    <xf numFmtId="0" fontId="7" fillId="0" borderId="3" xfId="0" applyFont="1" applyBorder="1"/>
    <xf numFmtId="0" fontId="14" fillId="0" borderId="4" xfId="0" applyFont="1" applyBorder="1"/>
    <xf numFmtId="0" fontId="7" fillId="0" borderId="5" xfId="0" applyFont="1" applyBorder="1"/>
    <xf numFmtId="0" fontId="14" fillId="0" borderId="6" xfId="0" applyFont="1" applyBorder="1"/>
    <xf numFmtId="0" fontId="14" fillId="0" borderId="7" xfId="0" applyFont="1" applyBorder="1"/>
    <xf numFmtId="0" fontId="14" fillId="0" borderId="8" xfId="0" applyFont="1" applyBorder="1"/>
    <xf numFmtId="0" fontId="14" fillId="0" borderId="9" xfId="0" applyFont="1" applyBorder="1"/>
    <xf numFmtId="0" fontId="14" fillId="0" borderId="2" xfId="0" applyFont="1" applyBorder="1"/>
    <xf numFmtId="0" fontId="14" fillId="0" borderId="10" xfId="0" applyFont="1" applyBorder="1"/>
    <xf numFmtId="0" fontId="2" fillId="2" borderId="1" xfId="0" applyFont="1" applyFill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2" fillId="2" borderId="2" xfId="0" applyFont="1" applyFill="1" applyBorder="1" applyAlignment="1">
      <alignment horizontal="center" vertical="top"/>
    </xf>
    <xf numFmtId="14" fontId="10" fillId="0" borderId="0" xfId="0" applyNumberFormat="1" applyFont="1"/>
    <xf numFmtId="0" fontId="11" fillId="0" borderId="2" xfId="0" applyFont="1" applyBorder="1" applyAlignment="1">
      <alignment horizontal="left" vertical="top"/>
    </xf>
    <xf numFmtId="0" fontId="1" fillId="0" borderId="1" xfId="0" applyFont="1" applyBorder="1" applyAlignment="1">
      <alignment wrapText="1"/>
    </xf>
    <xf numFmtId="0" fontId="0" fillId="0" borderId="0" xfId="0" applyNumberFormat="1"/>
    <xf numFmtId="0" fontId="0" fillId="0" borderId="0" xfId="0" applyNumberFormat="1" applyAlignment="1">
      <alignment horizontal="center"/>
    </xf>
    <xf numFmtId="14" fontId="0" fillId="0" borderId="0" xfId="0" applyNumberFormat="1"/>
    <xf numFmtId="0" fontId="0" fillId="0" borderId="0" xfId="0" applyFont="1"/>
    <xf numFmtId="0" fontId="0" fillId="0" borderId="0" xfId="0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一般" xfId="0" builtinId="0"/>
  </cellStyles>
  <dxfs count="34"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yyyy/m/d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JhengHei"/>
        <family val="2"/>
        <charset val="136"/>
        <scheme val="none"/>
      </font>
      <fill>
        <patternFill patternType="solid">
          <fgColor rgb="FFD6E3BC"/>
          <bgColor rgb="FFD6E3BC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D6E3BC"/>
          <bgColor rgb="FFD6E3B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AEEF3"/>
          <bgColor rgb="FFDAEEF3"/>
        </patternFill>
      </fill>
    </dxf>
    <dxf>
      <fill>
        <patternFill patternType="solid">
          <fgColor rgb="FFB6DDE8"/>
          <bgColor rgb="FFB6DDE8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</dxfs>
  <tableStyles count="6">
    <tableStyle name="任務列表-style" pivot="0" count="3" xr9:uid="{00000000-0011-0000-FFFF-FFFF00000000}">
      <tableStyleElement type="headerRow" dxfId="33"/>
      <tableStyleElement type="firstRowStripe" dxfId="32"/>
      <tableStyleElement type="secondRowStripe" dxfId="31"/>
    </tableStyle>
    <tableStyle name="技能狀態-style" pivot="0" count="3" xr9:uid="{00000000-0011-0000-FFFF-FFFF01000000}">
      <tableStyleElement type="headerRow" dxfId="30"/>
      <tableStyleElement type="firstRowStripe" dxfId="29"/>
      <tableStyleElement type="secondRowStripe" dxfId="28"/>
    </tableStyle>
    <tableStyle name="事件表-style" pivot="0" count="3" xr9:uid="{00000000-0011-0000-FFFF-FFFF02000000}">
      <tableStyleElement type="headerRow" dxfId="27"/>
      <tableStyleElement type="firstRowStripe" dxfId="26"/>
      <tableStyleElement type="secondRowStripe" dxfId="25"/>
    </tableStyle>
    <tableStyle name="怪物表-style" pivot="0" count="3" xr9:uid="{00000000-0011-0000-FFFF-FFFF03000000}">
      <tableStyleElement type="headerRow" dxfId="24"/>
      <tableStyleElement type="firstRowStripe" dxfId="23"/>
      <tableStyleElement type="secondRowStripe" dxfId="22"/>
    </tableStyle>
    <tableStyle name="紀錄頁面-style" pivot="0" count="3" xr9:uid="{00000000-0011-0000-FFFF-FFFF04000000}">
      <tableStyleElement type="headerRow" dxfId="21"/>
      <tableStyleElement type="firstRowStripe" dxfId="20"/>
      <tableStyleElement type="secondRowStripe" dxfId="19"/>
    </tableStyle>
    <tableStyle name="職業技能表-style" pivot="0" count="3" xr9:uid="{00000000-0011-0000-FFFF-FFFF05000000}">
      <tableStyleElement type="headerRow" dxfId="18"/>
      <tableStyleElement type="firstRowStripe" dxfId="17"/>
      <tableStyleElement type="secondRowStripe" dxfId="1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&#25216;&#33021;&#29376;&#24907;!A1"/><Relationship Id="rId2" Type="http://schemas.openxmlformats.org/officeDocument/2006/relationships/hyperlink" Target="#&#24618;&#29289;&#34920;!A1"/><Relationship Id="rId1" Type="http://schemas.openxmlformats.org/officeDocument/2006/relationships/hyperlink" Target="#&#20107;&#20214;&#34920;!A1"/><Relationship Id="rId6" Type="http://schemas.openxmlformats.org/officeDocument/2006/relationships/image" Target="../media/image2.emf"/><Relationship Id="rId5" Type="http://schemas.openxmlformats.org/officeDocument/2006/relationships/image" Target="../media/image1.emf"/><Relationship Id="rId4" Type="http://schemas.openxmlformats.org/officeDocument/2006/relationships/hyperlink" Target="#&#32000;&#37636;&#38913;&#38754;!A1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23</xdr:row>
      <xdr:rowOff>152400</xdr:rowOff>
    </xdr:from>
    <xdr:ext cx="704850" cy="361950"/>
    <xdr:sp macro="" textlink="">
      <xdr:nvSpPr>
        <xdr:cNvPr id="3" name="Shap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998338" y="3603788"/>
          <a:ext cx="695325" cy="352425"/>
        </a:xfrm>
        <a:prstGeom prst="roundRect">
          <a:avLst>
            <a:gd name="adj" fmla="val 16667"/>
          </a:avLst>
        </a:prstGeom>
        <a:gradFill>
          <a:gsLst>
            <a:gs pos="0">
              <a:srgbClr val="9FC3FF"/>
            </a:gs>
            <a:gs pos="35000">
              <a:srgbClr val="BDD5FF"/>
            </a:gs>
            <a:gs pos="100000">
              <a:srgbClr val="E4EEFF"/>
            </a:gs>
          </a:gsLst>
          <a:lin ang="16200000" scaled="0"/>
        </a:gradFill>
        <a:ln w="9525" cap="flat" cmpd="sng">
          <a:solidFill>
            <a:srgbClr val="4A7D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Microsoft JhengHei"/>
              <a:ea typeface="Microsoft JhengHei"/>
              <a:cs typeface="Microsoft JhengHei"/>
              <a:sym typeface="Microsoft JhengHei"/>
            </a:rPr>
            <a:t>事件表</a:t>
          </a:r>
          <a:endParaRPr sz="1400"/>
        </a:p>
      </xdr:txBody>
    </xdr:sp>
    <xdr:clientData fLocksWithSheet="0"/>
  </xdr:oneCellAnchor>
  <xdr:oneCellAnchor>
    <xdr:from>
      <xdr:col>11</xdr:col>
      <xdr:colOff>200025</xdr:colOff>
      <xdr:row>23</xdr:row>
      <xdr:rowOff>152400</xdr:rowOff>
    </xdr:from>
    <xdr:ext cx="695325" cy="361950"/>
    <xdr:sp macro="" textlink="">
      <xdr:nvSpPr>
        <xdr:cNvPr id="4" name="Shape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4998338" y="3603788"/>
          <a:ext cx="695325" cy="352425"/>
        </a:xfrm>
        <a:prstGeom prst="roundRect">
          <a:avLst>
            <a:gd name="adj" fmla="val 16667"/>
          </a:avLst>
        </a:prstGeom>
        <a:gradFill>
          <a:gsLst>
            <a:gs pos="0">
              <a:srgbClr val="9FC3FF"/>
            </a:gs>
            <a:gs pos="35000">
              <a:srgbClr val="BDD5FF"/>
            </a:gs>
            <a:gs pos="100000">
              <a:srgbClr val="E4EEFF"/>
            </a:gs>
          </a:gsLst>
          <a:lin ang="16200000" scaled="0"/>
        </a:gradFill>
        <a:ln w="9525" cap="flat" cmpd="sng">
          <a:solidFill>
            <a:srgbClr val="4A7D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Microsoft JhengHei"/>
              <a:ea typeface="Microsoft JhengHei"/>
              <a:cs typeface="Microsoft JhengHei"/>
              <a:sym typeface="Microsoft JhengHei"/>
            </a:rPr>
            <a:t>怪物表</a:t>
          </a:r>
          <a:endParaRPr sz="1400"/>
        </a:p>
      </xdr:txBody>
    </xdr:sp>
    <xdr:clientData fLocksWithSheet="0"/>
  </xdr:oneCellAnchor>
  <xdr:oneCellAnchor>
    <xdr:from>
      <xdr:col>12</xdr:col>
      <xdr:colOff>304800</xdr:colOff>
      <xdr:row>23</xdr:row>
      <xdr:rowOff>152400</xdr:rowOff>
    </xdr:from>
    <xdr:ext cx="828675" cy="361950"/>
    <xdr:sp macro="" textlink="">
      <xdr:nvSpPr>
        <xdr:cNvPr id="5" name="Shape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4936425" y="3603788"/>
          <a:ext cx="819150" cy="352425"/>
        </a:xfrm>
        <a:prstGeom prst="roundRect">
          <a:avLst>
            <a:gd name="adj" fmla="val 16667"/>
          </a:avLst>
        </a:prstGeom>
        <a:gradFill>
          <a:gsLst>
            <a:gs pos="0">
              <a:srgbClr val="9FC3FF"/>
            </a:gs>
            <a:gs pos="35000">
              <a:srgbClr val="BDD5FF"/>
            </a:gs>
            <a:gs pos="100000">
              <a:srgbClr val="E4EEFF"/>
            </a:gs>
          </a:gsLst>
          <a:lin ang="16200000" scaled="0"/>
        </a:gradFill>
        <a:ln w="9525" cap="flat" cmpd="sng">
          <a:solidFill>
            <a:srgbClr val="4A7D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Microsoft JhengHei"/>
              <a:ea typeface="Microsoft JhengHei"/>
              <a:cs typeface="Microsoft JhengHei"/>
              <a:sym typeface="Microsoft JhengHei"/>
            </a:rPr>
            <a:t>技能狀態</a:t>
          </a:r>
          <a:endParaRPr sz="1400"/>
        </a:p>
      </xdr:txBody>
    </xdr:sp>
    <xdr:clientData fLocksWithSheet="0"/>
  </xdr:oneCellAnchor>
  <xdr:oneCellAnchor>
    <xdr:from>
      <xdr:col>13</xdr:col>
      <xdr:colOff>533400</xdr:colOff>
      <xdr:row>23</xdr:row>
      <xdr:rowOff>152400</xdr:rowOff>
    </xdr:from>
    <xdr:ext cx="828675" cy="361950"/>
    <xdr:sp macro="" textlink="">
      <xdr:nvSpPr>
        <xdr:cNvPr id="6" name="Shape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4936425" y="3603788"/>
          <a:ext cx="819150" cy="352425"/>
        </a:xfrm>
        <a:prstGeom prst="roundRect">
          <a:avLst>
            <a:gd name="adj" fmla="val 16667"/>
          </a:avLst>
        </a:prstGeom>
        <a:gradFill>
          <a:gsLst>
            <a:gs pos="0">
              <a:srgbClr val="9FC3FF"/>
            </a:gs>
            <a:gs pos="35000">
              <a:srgbClr val="BDD5FF"/>
            </a:gs>
            <a:gs pos="100000">
              <a:srgbClr val="E4EEFF"/>
            </a:gs>
          </a:gsLst>
          <a:lin ang="16200000" scaled="0"/>
        </a:gradFill>
        <a:ln w="9525" cap="flat" cmpd="sng">
          <a:solidFill>
            <a:srgbClr val="4A7D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Microsoft JhengHei"/>
              <a:ea typeface="Microsoft JhengHei"/>
              <a:cs typeface="Microsoft JhengHei"/>
              <a:sym typeface="Microsoft JhengHei"/>
            </a:rPr>
            <a:t>紀錄頁面</a:t>
          </a:r>
          <a:endParaRPr sz="1400"/>
        </a:p>
      </xdr:txBody>
    </xdr:sp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53340</xdr:colOff>
          <xdr:row>9</xdr:row>
          <xdr:rowOff>53340</xdr:rowOff>
        </xdr:from>
        <xdr:to>
          <xdr:col>9</xdr:col>
          <xdr:colOff>419100</xdr:colOff>
          <xdr:row>13</xdr:row>
          <xdr:rowOff>60960</xdr:rowOff>
        </xdr:to>
        <xdr:pic>
          <xdr:nvPicPr>
            <xdr:cNvPr id="10" name="圖片 9">
              <a:extLst>
                <a:ext uri="{FF2B5EF4-FFF2-40B4-BE49-F238E27FC236}">
                  <a16:creationId xmlns:a16="http://schemas.microsoft.com/office/drawing/2014/main" id="{FD445FE5-3F31-4AE6-89C7-A047E89DB9E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角色狀態表!$A$1:$G$4" spid="_x0000_s1066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297180" y="1813560"/>
              <a:ext cx="6355080" cy="70866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</xdr:colOff>
          <xdr:row>15</xdr:row>
          <xdr:rowOff>60960</xdr:rowOff>
        </xdr:from>
        <xdr:to>
          <xdr:col>12</xdr:col>
          <xdr:colOff>457200</xdr:colOff>
          <xdr:row>16</xdr:row>
          <xdr:rowOff>1539240</xdr:rowOff>
        </xdr:to>
        <xdr:pic>
          <xdr:nvPicPr>
            <xdr:cNvPr id="11" name="圖片 10">
              <a:extLst>
                <a:ext uri="{FF2B5EF4-FFF2-40B4-BE49-F238E27FC236}">
                  <a16:creationId xmlns:a16="http://schemas.microsoft.com/office/drawing/2014/main" id="{30EA7415-93AA-4ACB-ACE4-5E7E27E9BAA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任務列表!$B$1:$K$9" spid="_x0000_s1067"/>
                </a:ext>
              </a:extLst>
            </xdr:cNvPicPr>
          </xdr:nvPicPr>
          <xdr:blipFill>
            <a:blip xmlns:r="http://schemas.openxmlformats.org/officeDocument/2006/relationships" r:embed="rId6"/>
            <a:srcRect/>
            <a:stretch>
              <a:fillRect/>
            </a:stretch>
          </xdr:blipFill>
          <xdr:spPr bwMode="auto">
            <a:xfrm>
              <a:off x="266700" y="2926080"/>
              <a:ext cx="8336280" cy="165354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任務列表" displayName="任務列表" ref="A1:K9">
  <tableColumns count="11">
    <tableColumn id="1" xr3:uid="{00000000-0010-0000-0000-000001000000}" name="怪物ID"/>
    <tableColumn id="2" xr3:uid="{00000000-0010-0000-0000-000002000000}" name="玩家"/>
    <tableColumn id="3" xr3:uid="{00000000-0010-0000-0000-000003000000}" name="怪物名稱"/>
    <tableColumn id="4" xr3:uid="{00000000-0010-0000-0000-000004000000}" name="難度"/>
    <tableColumn id="5" xr3:uid="{00000000-0010-0000-0000-000005000000}" name="任務內容"/>
    <tableColumn id="6" xr3:uid="{00000000-0010-0000-0000-000006000000}" name="時限"/>
    <tableColumn id="7" xr3:uid="{00000000-0010-0000-0000-000007000000}" name="成功EXP"/>
    <tableColumn id="8" xr3:uid="{00000000-0010-0000-0000-000008000000}" name="失敗-HP"/>
    <tableColumn id="9" xr3:uid="{00000000-0010-0000-0000-000009000000}" name="開始日"/>
    <tableColumn id="10" xr3:uid="{00000000-0010-0000-0000-00000A000000}" name="截止日"/>
    <tableColumn id="11" xr3:uid="{00000000-0010-0000-0000-00000B000000}" name="狀態"/>
  </tableColumns>
  <tableStyleInfo name="任務列表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技能狀態" displayName="技能狀態" ref="A1:L11">
  <autoFilter ref="A1:L11" xr:uid="{21ECBA44-144A-4A28-9D22-475EC7BC8BDD}"/>
  <sortState xmlns:xlrd2="http://schemas.microsoft.com/office/spreadsheetml/2017/richdata2" ref="A2:L10">
    <sortCondition ref="A1:A10"/>
  </sortState>
  <tableColumns count="12">
    <tableColumn id="1" xr3:uid="{00000000-0010-0000-0100-000001000000}" name="玩家" dataDxfId="15"/>
    <tableColumn id="2" xr3:uid="{00000000-0010-0000-0100-000002000000}" name="職業" dataDxfId="14">
      <calculatedColumnFormula>IF(技能狀態!$A2="","",VLOOKUP(技能狀態!$A2,角色狀態表!$A$2:$B$4,2,FALSE))</calculatedColumnFormula>
    </tableColumn>
    <tableColumn id="3" xr3:uid="{00000000-0010-0000-0100-000003000000}" name="技能ID"/>
    <tableColumn id="4" xr3:uid="{00000000-0010-0000-0100-000004000000}" name="技能名稱" dataDxfId="13">
      <calculatedColumnFormula>IF(技能狀態!$A2="","",VLOOKUP(技能狀態!$C2,職業技能表!$A$2:$I$28,3,))</calculatedColumnFormula>
    </tableColumn>
    <tableColumn id="5" xr3:uid="{00000000-0010-0000-0100-000005000000}" name="主被動" dataDxfId="12"/>
    <tableColumn id="6" xr3:uid="{00000000-0010-0000-0100-000006000000}" name="MP消耗" dataDxfId="11">
      <calculatedColumnFormula>IF(技能狀態!$A2="","",VLOOKUP(技能狀態!$C2,職業技能表!$A$2:$I$28,5,FALSE))</calculatedColumnFormula>
    </tableColumn>
    <tableColumn id="7" xr3:uid="{00000000-0010-0000-0100-000007000000}" name="啟用狀態" dataDxfId="10"/>
    <tableColumn id="8" xr3:uid="{00000000-0010-0000-0100-000008000000}" name="顯示字串" dataDxfId="9">
      <calculatedColumnFormula>IF(技能狀態!$A2="","", 技能狀態!$D2 &amp; "(" &amp; 技能狀態!$J2 &amp; "/" &amp; 技能狀態!$I2 &amp; ")")</calculatedColumnFormula>
    </tableColumn>
    <tableColumn id="9" xr3:uid="{00000000-0010-0000-0100-000009000000}" name="每週可用總次數"/>
    <tableColumn id="10" xr3:uid="{00000000-0010-0000-0100-00000A000000}" name="剩餘次數"/>
    <tableColumn id="11" xr3:uid="{00000000-0010-0000-0100-00000B000000}" name="次數重置規則"/>
    <tableColumn id="12" xr3:uid="{00000000-0010-0000-0100-00000C000000}" name="技能效果說明" dataDxfId="8">
      <calculatedColumnFormula>IF(技能狀態!$A2="","",VLOOKUP(技能狀態!$C2,職業技能表!$A$2:$I$28,9,FALSE))</calculatedColumnFormula>
    </tableColumn>
  </tableColumns>
  <tableStyleInfo name="技能狀態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G14">
  <tableColumns count="7">
    <tableColumn id="1" xr3:uid="{00000000-0010-0000-0200-000001000000}" name="事件編號"/>
    <tableColumn id="2" xr3:uid="{00000000-0010-0000-0200-000002000000}" name="事件類型"/>
    <tableColumn id="3" xr3:uid="{00000000-0010-0000-0200-000003000000}" name="事件名稱"/>
    <tableColumn id="4" xr3:uid="{00000000-0010-0000-0200-000004000000}" name="效果代碼" dataDxfId="7"/>
    <tableColumn id="5" xr3:uid="{00000000-0010-0000-0200-000005000000}" name="事件敘述"/>
    <tableColumn id="6" xr3:uid="{00000000-0010-0000-0200-000006000000}" name="事件影響(數值)" dataDxfId="6"/>
    <tableColumn id="7" xr3:uid="{00000000-0010-0000-0200-000007000000}" name="說明"/>
  </tableColumns>
  <tableStyleInfo name="事件表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1:K13">
  <tableColumns count="11">
    <tableColumn id="1" xr3:uid="{00000000-0010-0000-0300-000001000000}" name="怪物編號"/>
    <tableColumn id="2" xr3:uid="{00000000-0010-0000-0300-000002000000}" name="怪物分類"/>
    <tableColumn id="3" xr3:uid="{00000000-0010-0000-0300-000003000000}" name="怪物名稱"/>
    <tableColumn id="4" xr3:uid="{00000000-0010-0000-0300-000004000000}" name="敘述"/>
    <tableColumn id="5" xr3:uid="{00000000-0010-0000-0300-000005000000}" name="怪物等級"/>
    <tableColumn id="6" xr3:uid="{00000000-0010-0000-0300-000006000000}" name="怪物圖片連結"/>
    <tableColumn id="7" xr3:uid="{00000000-0010-0000-0300-000007000000}" name="任務內容"/>
    <tableColumn id="8" xr3:uid="{00000000-0010-0000-0300-000008000000}" name="時限(天)"/>
    <tableColumn id="9" xr3:uid="{00000000-0010-0000-0300-000009000000}" name="成功EXP"/>
    <tableColumn id="10" xr3:uid="{00000000-0010-0000-0300-00000A000000}" name="失敗HP"/>
    <tableColumn id="11" xr3:uid="{00000000-0010-0000-0300-00000B000000}" name="備註"/>
  </tableColumns>
  <tableStyleInfo name="怪物表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記錄" displayName="記錄" ref="A1:N29" headerRowDxfId="5" headerRowBorderDxfId="4">
  <tableColumns count="14">
    <tableColumn id="1" xr3:uid="{00000000-0010-0000-0400-000001000000}" name="日期" dataDxfId="3"/>
    <tableColumn id="2" xr3:uid="{00000000-0010-0000-0400-000002000000}" name="週數"/>
    <tableColumn id="3" xr3:uid="{00000000-0010-0000-0400-000003000000}" name="玩家"/>
    <tableColumn id="4" xr3:uid="{00000000-0010-0000-0400-000004000000}" name="類型"/>
    <tableColumn id="5" xr3:uid="{00000000-0010-0000-0400-000005000000}" name="代碼"/>
    <tableColumn id="6" xr3:uid="{00000000-0010-0000-0400-000006000000}" name="名稱"/>
    <tableColumn id="7" xr3:uid="{00000000-0010-0000-0400-000007000000}" name="效果說明"/>
    <tableColumn id="8" xr3:uid="{00000000-0010-0000-0400-000008000000}" name="對象"/>
    <tableColumn id="9" xr3:uid="{00000000-0010-0000-0400-000009000000}" name="HP變化"/>
    <tableColumn id="10" xr3:uid="{00000000-0010-0000-0400-00000A000000}" name="MP變化"/>
    <tableColumn id="11" xr3:uid="{00000000-0010-0000-0400-00000B000000}" name="EXP變化"/>
    <tableColumn id="12" xr3:uid="{00000000-0010-0000-0400-00000C000000}" name="當前HP"/>
    <tableColumn id="13" xr3:uid="{00000000-0010-0000-0400-00000D000000}" name="當前MP"/>
    <tableColumn id="14" xr3:uid="{AFC49E33-5E23-4E47-A041-E6A632990E29}" name="當前EXP"/>
  </tableColumns>
  <tableStyleInfo name="TableStyleLight18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1:I28">
  <autoFilter ref="A1:I28" xr:uid="{F3876020-CBC1-4889-9C97-A6CFA4C1BFC3}"/>
  <sortState xmlns:xlrd2="http://schemas.microsoft.com/office/spreadsheetml/2017/richdata2" ref="A2:I18">
    <sortCondition ref="A1:A18"/>
  </sortState>
  <tableColumns count="9">
    <tableColumn id="1" xr3:uid="{00000000-0010-0000-0500-000001000000}" name="技能編碼" dataDxfId="0"/>
    <tableColumn id="2" xr3:uid="{00000000-0010-0000-0500-000002000000}" name="職業" dataDxfId="1">
      <calculatedColumnFormula>IF(職業技能表!$A2="","",VLOOKUP(LEFT(職業技能表!$A2,2),清單表!$B$2:$C$7,2,))</calculatedColumnFormula>
    </tableColumn>
    <tableColumn id="3" xr3:uid="{00000000-0010-0000-0500-000003000000}" name="技能名稱"/>
    <tableColumn id="4" xr3:uid="{00000000-0010-0000-0500-000004000000}" name="主動被動" dataDxfId="2">
      <calculatedColumnFormula>IF(職業技能表!$A2="","",IF(MID(職業技能表!$A2,3,1)="A", "主動","被動"))</calculatedColumnFormula>
    </tableColumn>
    <tableColumn id="5" xr3:uid="{00000000-0010-0000-0500-000005000000}" name="消耗MP"/>
    <tableColumn id="6" xr3:uid="{00000000-0010-0000-0500-000006000000}" name="效果數值"/>
    <tableColumn id="7" xr3:uid="{00000000-0010-0000-0500-000007000000}" name="每週可用次數"/>
    <tableColumn id="8" xr3:uid="{00000000-0010-0000-0500-000008000000}" name="次數重置規則"/>
    <tableColumn id="9" xr3:uid="{00000000-0010-0000-0500-000009000000}" name="技能敘述"/>
  </tableColumns>
  <tableStyleInfo name="職業技能表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AA1001"/>
  <sheetViews>
    <sheetView showGridLines="0" topLeftCell="A10" workbookViewId="0">
      <selection activeCell="C21" sqref="C21"/>
    </sheetView>
  </sheetViews>
  <sheetFormatPr defaultColWidth="14.44140625" defaultRowHeight="15" customHeight="1"/>
  <cols>
    <col min="1" max="1" width="3.5546875" customWidth="1"/>
    <col min="2" max="2" width="11.6640625" customWidth="1"/>
    <col min="3" max="3" width="5.5546875" customWidth="1"/>
    <col min="4" max="4" width="8.77734375" customWidth="1"/>
    <col min="5" max="5" width="12.88671875" customWidth="1"/>
    <col min="6" max="6" width="9.33203125" customWidth="1"/>
    <col min="7" max="7" width="16.5546875" customWidth="1"/>
    <col min="8" max="8" width="12.88671875" customWidth="1"/>
    <col min="9" max="9" width="9.6640625" customWidth="1"/>
    <col min="10" max="11" width="8.88671875" customWidth="1"/>
    <col min="12" max="14" width="10.109375" customWidth="1"/>
    <col min="15" max="15" width="12.5546875" customWidth="1"/>
    <col min="16" max="27" width="8.6640625" customWidth="1"/>
  </cols>
  <sheetData>
    <row r="1" spans="1:27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4.25" customHeight="1">
      <c r="A2" s="1"/>
      <c r="B2" s="2" t="s">
        <v>0</v>
      </c>
      <c r="C2" s="3">
        <v>2</v>
      </c>
      <c r="D2" s="2" t="s">
        <v>1</v>
      </c>
      <c r="E2" s="4" t="s">
        <v>2</v>
      </c>
      <c r="F2" s="1" t="s">
        <v>3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4.25" customHeight="1">
      <c r="A3" s="1"/>
      <c r="B3" s="1"/>
      <c r="C3" s="1"/>
      <c r="D3" s="1"/>
      <c r="E3" s="1"/>
      <c r="F3" s="1"/>
      <c r="G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9.2" customHeight="1">
      <c r="A4" s="1"/>
      <c r="B4" s="5" t="s">
        <v>4</v>
      </c>
      <c r="C4" s="6" t="str">
        <f>VLOOKUP($C$5,事件表!$A$2:$G$14,3,FALSE)</f>
        <v>森林的低語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4.25" customHeight="1">
      <c r="A5" s="1"/>
      <c r="B5" s="7" t="s">
        <v>5</v>
      </c>
      <c r="C5" s="1" t="s">
        <v>280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4.25" customHeight="1">
      <c r="A6" s="1"/>
      <c r="B6" s="7" t="s">
        <v>7</v>
      </c>
      <c r="C6" s="1" t="str">
        <f>VLOOKUP($C$5,事件表!$A$2:$G$14,5,FALSE)</f>
        <v>森林變得安靜，彷彿在等待你們的回應。</v>
      </c>
      <c r="D6" s="1"/>
      <c r="E6" s="1"/>
      <c r="F6" s="1"/>
      <c r="G6" s="1"/>
      <c r="H6" s="1"/>
      <c r="I6" s="1"/>
      <c r="J6" s="1"/>
      <c r="K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4.25" customHeight="1">
      <c r="A7" s="1"/>
      <c r="B7" s="7" t="s">
        <v>8</v>
      </c>
      <c r="C7" s="1" t="str">
        <f>VLOOKUP($C$5,事件表!$A$2:$G$14,7,FALSE)</f>
        <v>本週 第一位完成怪物任務的玩家 → +1 MP。只觸發一次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22.8" customHeight="1">
      <c r="A9" s="1"/>
      <c r="B9" s="5" t="s">
        <v>9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4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4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4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4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8" customHeight="1">
      <c r="A15" s="1"/>
      <c r="B15" s="5" t="s">
        <v>10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36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22.8" customHeight="1">
      <c r="A19" s="1"/>
      <c r="B19" s="5" t="s">
        <v>11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3.5" customHeight="1">
      <c r="A20" s="1"/>
      <c r="B20" s="8" t="s">
        <v>12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4.25" customHeight="1">
      <c r="A21" s="1"/>
      <c r="B21" s="2" t="s">
        <v>13</v>
      </c>
      <c r="C21" s="1" t="str">
        <f ca="1">INDEX(事件表!$C$2:$C$101, RANDBETWEEN(1, COUNTA(事件表!$C$2:$C$101)))</f>
        <v>精靈惡作劇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4.25" customHeight="1">
      <c r="A22" s="1"/>
      <c r="B22" s="2" t="s">
        <v>14</v>
      </c>
      <c r="C22" s="1" t="str" cm="1">
        <f t="array" aca="1" ref="C22" ca="1">INDEX(怪物表!$C$2:$C$100, RANDBETWEEN(1, COUNTA(怪物表!$C$2:$C$100)))</f>
        <v>狼影幻獸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4.25" customHeight="1">
      <c r="A23" s="1"/>
      <c r="B23" s="1"/>
      <c r="C23" s="1" t="str">
        <f t="array" aca="1" ref="C23" ca="1">INDEX(怪物表!$C$2:$C$100, RANDBETWEEN(1, COUNTA(怪物表!$C$2:$C$100)))</f>
        <v>岩殼小魔傀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4.25" customHeight="1">
      <c r="A24" s="1"/>
      <c r="B24" s="1"/>
      <c r="C24" s="1" t="str">
        <f t="array" aca="1" ref="C24" ca="1">INDEX(怪物表!$C$2:$C$100, RANDBETWEEN(1, COUNTA(怪物表!$C$2:$C$100)))</f>
        <v>閃光精靈・微光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21" customHeight="1">
      <c r="A26" s="1"/>
      <c r="B26" s="5" t="s">
        <v>15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s="1" customFormat="1" ht="14.25" customHeight="1">
      <c r="B27" s="35" t="s">
        <v>16</v>
      </c>
      <c r="C27" s="35" t="s">
        <v>17</v>
      </c>
      <c r="D27" s="35" t="s">
        <v>18</v>
      </c>
      <c r="E27" s="35" t="s">
        <v>19</v>
      </c>
      <c r="F27" s="35" t="s">
        <v>20</v>
      </c>
      <c r="G27" s="35" t="s">
        <v>21</v>
      </c>
      <c r="H27" s="35" t="s">
        <v>22</v>
      </c>
      <c r="I27" s="35" t="s">
        <v>243</v>
      </c>
      <c r="J27" s="35" t="s">
        <v>23</v>
      </c>
      <c r="K27" s="35" t="s">
        <v>24</v>
      </c>
      <c r="L27" s="35" t="s">
        <v>25</v>
      </c>
      <c r="M27" s="35" t="s">
        <v>26</v>
      </c>
      <c r="N27" s="35" t="s">
        <v>27</v>
      </c>
      <c r="O27" s="35" t="s">
        <v>28</v>
      </c>
    </row>
    <row r="28" spans="1:27" ht="14.25" customHeight="1">
      <c r="A28" s="1"/>
      <c r="B28" s="9"/>
      <c r="C28" s="10"/>
      <c r="D28" s="10"/>
      <c r="E28" s="10"/>
      <c r="F28" s="10"/>
      <c r="G28" s="11"/>
      <c r="H28" s="40"/>
      <c r="I28" s="11"/>
      <c r="J28" s="11"/>
      <c r="K28" s="11"/>
      <c r="L28" s="11"/>
      <c r="M28" s="11"/>
      <c r="N28" s="11"/>
      <c r="O28" s="1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4.25" customHeight="1">
      <c r="A29" s="1"/>
      <c r="B29" s="9"/>
      <c r="C29" s="10"/>
      <c r="D29" s="10"/>
      <c r="E29" s="10"/>
      <c r="F29" s="10"/>
      <c r="G29" s="11"/>
      <c r="H29" s="11"/>
      <c r="I29" s="11"/>
      <c r="J29" s="11"/>
      <c r="K29" s="11"/>
      <c r="L29" s="11"/>
      <c r="M29" s="11"/>
      <c r="N29" s="11"/>
      <c r="O29" s="1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4.25" customHeight="1">
      <c r="A30" s="1"/>
      <c r="B30" s="9"/>
      <c r="C30" s="10"/>
      <c r="D30" s="10"/>
      <c r="E30" s="10"/>
      <c r="F30" s="10"/>
      <c r="G30" s="11"/>
      <c r="H30" s="11"/>
      <c r="I30" s="11"/>
      <c r="J30" s="11"/>
      <c r="K30" s="11"/>
      <c r="L30" s="11"/>
      <c r="M30" s="11"/>
      <c r="N30" s="11"/>
      <c r="O30" s="1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4.25" customHeight="1">
      <c r="A31" s="1"/>
      <c r="B31" s="9"/>
      <c r="C31" s="10"/>
      <c r="D31" s="10"/>
      <c r="E31" s="10"/>
      <c r="F31" s="10"/>
      <c r="G31" s="11"/>
      <c r="H31" s="11"/>
      <c r="I31" s="11"/>
      <c r="J31" s="11"/>
      <c r="K31" s="11"/>
      <c r="L31" s="11"/>
      <c r="M31" s="11"/>
      <c r="N31" s="11"/>
      <c r="O31" s="1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4.25" customHeight="1">
      <c r="A32" s="1"/>
      <c r="B32" s="9"/>
      <c r="C32" s="10"/>
      <c r="D32" s="10"/>
      <c r="E32" s="10"/>
      <c r="F32" s="10"/>
      <c r="G32" s="11"/>
      <c r="H32" s="11"/>
      <c r="I32" s="11"/>
      <c r="J32" s="11"/>
      <c r="K32" s="11"/>
      <c r="L32" s="11"/>
      <c r="M32" s="11"/>
      <c r="N32" s="11"/>
      <c r="O32" s="1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4.25" customHeight="1">
      <c r="A33" s="1"/>
      <c r="B33" s="9"/>
      <c r="C33" s="10"/>
      <c r="D33" s="10"/>
      <c r="E33" s="10"/>
      <c r="F33" s="10"/>
      <c r="G33" s="11"/>
      <c r="H33" s="11"/>
      <c r="I33" s="11"/>
      <c r="J33" s="11"/>
      <c r="K33" s="11"/>
      <c r="L33" s="11"/>
      <c r="M33" s="11"/>
      <c r="N33" s="11"/>
      <c r="O33" s="1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4.25" customHeight="1">
      <c r="A34" s="1"/>
      <c r="B34" s="9"/>
      <c r="C34" s="10"/>
      <c r="D34" s="10"/>
      <c r="E34" s="10"/>
      <c r="F34" s="10"/>
      <c r="G34" s="11"/>
      <c r="H34" s="11"/>
      <c r="I34" s="12"/>
      <c r="J34" s="11"/>
      <c r="K34" s="11"/>
      <c r="L34" s="11"/>
      <c r="M34" s="11"/>
      <c r="N34" s="11"/>
      <c r="O34" s="1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4.25" customHeight="1">
      <c r="A35" s="1"/>
      <c r="B35" s="9"/>
      <c r="C35" s="10"/>
      <c r="D35" s="10"/>
      <c r="E35" s="10"/>
      <c r="F35" s="10"/>
      <c r="G35" s="11"/>
      <c r="H35" s="12"/>
      <c r="I35" s="12"/>
      <c r="J35" s="11"/>
      <c r="K35" s="11"/>
      <c r="L35" s="11"/>
      <c r="M35" s="11"/>
      <c r="N35" s="11"/>
      <c r="O35" s="1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4.25" customHeight="1">
      <c r="A36" s="1"/>
      <c r="B36" s="9"/>
      <c r="C36" s="10"/>
      <c r="D36" s="10"/>
      <c r="E36" s="10"/>
      <c r="F36" s="10"/>
      <c r="G36" s="11"/>
      <c r="H36" s="12"/>
      <c r="I36" s="11"/>
      <c r="J36" s="11"/>
      <c r="K36" s="11"/>
      <c r="L36" s="11"/>
      <c r="M36" s="11"/>
      <c r="N36" s="11"/>
      <c r="O36" s="1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4.25" customHeight="1">
      <c r="A37" s="1"/>
      <c r="B37" s="9"/>
      <c r="C37" s="10"/>
      <c r="D37" s="10"/>
      <c r="E37" s="10"/>
      <c r="F37" s="10"/>
      <c r="G37" s="11"/>
      <c r="H37" s="11"/>
      <c r="I37" s="11"/>
      <c r="J37" s="11"/>
      <c r="K37" s="11"/>
      <c r="L37" s="11"/>
      <c r="M37" s="11"/>
      <c r="N37" s="11"/>
      <c r="O37" s="1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4.25" customHeight="1">
      <c r="A38" s="1"/>
      <c r="B38" s="9"/>
      <c r="C38" s="10"/>
      <c r="D38" s="10"/>
      <c r="E38" s="10"/>
      <c r="F38" s="10"/>
      <c r="G38" s="11"/>
      <c r="H38" s="11"/>
      <c r="I38" s="11"/>
      <c r="J38" s="11"/>
      <c r="K38" s="11"/>
      <c r="L38" s="11"/>
      <c r="M38" s="11"/>
      <c r="N38" s="11"/>
      <c r="O38" s="1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4.25" customHeight="1">
      <c r="A39" s="1"/>
      <c r="B39" s="9"/>
      <c r="C39" s="10"/>
      <c r="D39" s="10"/>
      <c r="E39" s="10"/>
      <c r="F39" s="10"/>
      <c r="G39" s="11"/>
      <c r="H39" s="11"/>
      <c r="I39" s="11"/>
      <c r="J39" s="11"/>
      <c r="K39" s="11"/>
      <c r="L39" s="11"/>
      <c r="M39" s="11"/>
      <c r="N39" s="11"/>
      <c r="O39" s="1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4.2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</sheetData>
  <phoneticPr fontId="18" type="noConversion"/>
  <dataValidations disablePrompts="1" count="1">
    <dataValidation type="list" allowBlank="1" showErrorMessage="1" sqref="E28:E39" xr:uid="{00000000-0002-0000-0000-000000000000}">
      <formula1>事件紀錄類型</formula1>
    </dataValidation>
  </dataValidations>
  <pageMargins left="0.75" right="0.75" top="1" bottom="1" header="0" footer="0"/>
  <pageSetup paperSize="9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2DBDB"/>
  </sheetPr>
  <dimension ref="A1:Z1000"/>
  <sheetViews>
    <sheetView workbookViewId="0">
      <selection activeCell="I19" sqref="I19"/>
    </sheetView>
  </sheetViews>
  <sheetFormatPr defaultColWidth="14.44140625" defaultRowHeight="15" customHeight="1"/>
  <cols>
    <col min="1" max="1" width="8.88671875" customWidth="1"/>
    <col min="2" max="2" width="10.109375" customWidth="1"/>
    <col min="3" max="6" width="8.88671875" customWidth="1"/>
    <col min="7" max="7" width="38" customWidth="1"/>
    <col min="8" max="8" width="8.33203125" bestFit="1" customWidth="1"/>
    <col min="9" max="9" width="8.77734375" bestFit="1" customWidth="1"/>
    <col min="10" max="10" width="8.88671875" customWidth="1"/>
    <col min="11" max="11" width="9.109375" customWidth="1"/>
    <col min="12" max="12" width="9.6640625" customWidth="1"/>
    <col min="13" max="26" width="8.6640625" customWidth="1"/>
  </cols>
  <sheetData>
    <row r="1" spans="1:26" ht="14.25" customHeight="1">
      <c r="A1" s="13" t="s">
        <v>18</v>
      </c>
      <c r="B1" s="13" t="s">
        <v>54</v>
      </c>
      <c r="C1" s="13" t="s">
        <v>55</v>
      </c>
      <c r="D1" s="13" t="s">
        <v>56</v>
      </c>
      <c r="E1" s="13" t="s">
        <v>57</v>
      </c>
      <c r="F1" s="13" t="s">
        <v>58</v>
      </c>
      <c r="G1" s="13" t="s">
        <v>59</v>
      </c>
      <c r="H1" s="13" t="s">
        <v>60</v>
      </c>
      <c r="I1" s="13" t="s">
        <v>61</v>
      </c>
      <c r="J1" s="13" t="s">
        <v>62</v>
      </c>
      <c r="K1" s="13" t="s">
        <v>63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10" t="s">
        <v>36</v>
      </c>
      <c r="B2" s="10" t="s">
        <v>64</v>
      </c>
      <c r="C2" s="10">
        <v>1</v>
      </c>
      <c r="D2" s="10">
        <v>8</v>
      </c>
      <c r="E2" s="10" t="str">
        <f t="shared" ref="E2:F2" si="0">H2&amp;"/"&amp;J2</f>
        <v>13/13</v>
      </c>
      <c r="F2" s="10" t="str">
        <f t="shared" si="0"/>
        <v>6/6</v>
      </c>
      <c r="G2" s="11" t="str">
        <f>CONCATENATE(L2," | ", M2, " | ", N2)</f>
        <v>急救(1/1) | 合體技(1/1) | 延長時限(1/1)</v>
      </c>
      <c r="H2" s="14">
        <v>13</v>
      </c>
      <c r="I2" s="14">
        <v>6</v>
      </c>
      <c r="J2" s="10">
        <v>13</v>
      </c>
      <c r="K2" s="10">
        <v>6</v>
      </c>
      <c r="L2" s="1" t="str">
        <f>IFERROR(
  INDEX(技能狀態!$H$2:$H$100,
    SMALL(
      IF(技能狀態!$A$2:$A$100=$A2,
         ROW(技能狀態!$A$2:$A$100)-ROW(技能狀態!$A$2)+1),
      1
    )
  ),
"")</f>
        <v>急救(1/1)</v>
      </c>
      <c r="M2" s="1" t="str">
        <f t="array" ref="M2">IFERROR(
  INDEX(技能狀態!$H$2:$H$100,
    SMALL(
      IF(技能狀態!$A$2:$A$100=$A2,
         ROW(技能狀態!$A$2:$A$100)-ROW(技能狀態!$A$2)+1),
      2
    )
  ),
"")</f>
        <v>合體技(1/1)</v>
      </c>
      <c r="N2" s="1" t="str">
        <f t="array" ref="N2">IFERROR(
  INDEX(技能狀態!$H$2:$H$100,
    SMALL(
      IF(技能狀態!$A$2:$A$100=$A2,
         ROW(技能狀態!$A$2:$A$100)-ROW(技能狀態!$A$2)+1),
      3
    )
  ),
"")</f>
        <v>延長時限(1/1)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>
      <c r="A3" s="10" t="s">
        <v>45</v>
      </c>
      <c r="B3" s="10" t="s">
        <v>65</v>
      </c>
      <c r="C3" s="10">
        <v>1</v>
      </c>
      <c r="D3" s="10">
        <v>11</v>
      </c>
      <c r="E3" s="10" t="str">
        <f t="shared" ref="E3:F3" si="1">H3&amp;"/"&amp;J3</f>
        <v>12/12</v>
      </c>
      <c r="F3" s="10" t="str">
        <f t="shared" si="1"/>
        <v>6/7</v>
      </c>
      <c r="G3" s="11" t="str">
        <f t="shared" ref="G3:G4" si="2">CONCATENATE(L3," | ", M3, " | ", N3)</f>
        <v>急救(1/1) | 合體技(0/1) | 遠距支援(1/1)</v>
      </c>
      <c r="H3" s="14">
        <v>12</v>
      </c>
      <c r="I3" s="14">
        <v>6</v>
      </c>
      <c r="J3" s="10">
        <v>12</v>
      </c>
      <c r="K3" s="10">
        <v>7</v>
      </c>
      <c r="L3" s="1" t="str">
        <f t="array" ref="L3">IFERROR(
  INDEX(技能狀態!$H$2:$H$100,
    SMALL(
      IF(技能狀態!$A$2:$A$100=$A3,
         ROW(技能狀態!$A$2:$A$100)-ROW(技能狀態!$A$2)+1),
      1
    )
  ),
"")</f>
        <v>急救(1/1)</v>
      </c>
      <c r="M3" s="1" t="str">
        <f t="array" ref="M3">IFERROR(
  INDEX(技能狀態!$H$2:$H$100,
    SMALL(
      IF(技能狀態!$A$2:$A$100=$A3,
         ROW(技能狀態!$A$2:$A$100)-ROW(技能狀態!$A$2)+1),
      2
    )
  ),
"")</f>
        <v>合體技(0/1)</v>
      </c>
      <c r="N3" s="1" t="str">
        <f t="array" ref="N3">IFERROR(
  INDEX(技能狀態!$H$2:$H$100,
    SMALL(
      IF(技能狀態!$A$2:$A$100=$A3,
         ROW(技能狀態!$A$2:$A$100)-ROW(技能狀態!$A$2)+1),
      3
    )
  ),
"")</f>
        <v>遠距支援(1/1)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>
      <c r="A4" s="10" t="s">
        <v>41</v>
      </c>
      <c r="B4" s="10" t="s">
        <v>66</v>
      </c>
      <c r="C4" s="10">
        <v>2</v>
      </c>
      <c r="D4" s="10">
        <v>15</v>
      </c>
      <c r="E4" s="10" t="str">
        <f t="shared" ref="E4:F4" si="3">H4&amp;"/"&amp;J4</f>
        <v>10/11</v>
      </c>
      <c r="F4" s="10" t="str">
        <f t="shared" si="3"/>
        <v>8/10</v>
      </c>
      <c r="G4" s="11" t="str">
        <f t="shared" si="2"/>
        <v>急救(1/1) | 合體技(0/1) | 弱化怪物(1/1)</v>
      </c>
      <c r="H4" s="14">
        <v>10</v>
      </c>
      <c r="I4" s="14">
        <v>8</v>
      </c>
      <c r="J4" s="10">
        <v>11</v>
      </c>
      <c r="K4" s="10">
        <v>10</v>
      </c>
      <c r="L4" s="1" t="str">
        <f t="array" ref="L4">IFERROR(
  INDEX(技能狀態!$H$2:$H$100,
    SMALL(
      IF(技能狀態!$A$2:$A$100=$A4,
         ROW(技能狀態!$A$2:$A$100)-ROW(技能狀態!$A$2)+1),
      1
    )
  ),
"")</f>
        <v>急救(1/1)</v>
      </c>
      <c r="M4" s="1" t="str">
        <f t="array" ref="M4">IFERROR(
  INDEX(技能狀態!$H$2:$H$100,
    SMALL(
      IF(技能狀態!$A$2:$A$100=$A4,
         ROW(技能狀態!$A$2:$A$100)-ROW(技能狀態!$A$2)+1),
      2
    )
  ),
"")</f>
        <v>合體技(0/1)</v>
      </c>
      <c r="N4" s="1" t="str">
        <f t="array" ref="N4">IFERROR(
  INDEX(技能狀態!$H$2:$H$100,
    SMALL(
      IF(技能狀態!$A$2:$A$100=$A4,
         ROW(技能狀態!$A$2:$A$100)-ROW(技能狀態!$A$2)+1),
      3
    )
  ),
"")</f>
        <v>弱化怪物(1/1)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honeticPr fontId="18" type="noConversion"/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2DBDB"/>
  </sheetPr>
  <dimension ref="A1:Z1000"/>
  <sheetViews>
    <sheetView workbookViewId="0">
      <selection activeCell="K4" sqref="K4"/>
    </sheetView>
  </sheetViews>
  <sheetFormatPr defaultColWidth="14.44140625" defaultRowHeight="15" customHeight="1"/>
  <cols>
    <col min="1" max="1" width="10.109375" customWidth="1"/>
    <col min="2" max="2" width="8.88671875" customWidth="1"/>
    <col min="3" max="3" width="18.5546875" customWidth="1"/>
    <col min="4" max="4" width="5.109375" customWidth="1"/>
    <col min="5" max="5" width="32.33203125" customWidth="1"/>
    <col min="6" max="6" width="5.88671875" customWidth="1"/>
    <col min="7" max="9" width="8.88671875" customWidth="1"/>
    <col min="10" max="10" width="10" customWidth="1"/>
    <col min="11" max="11" width="14" customWidth="1"/>
    <col min="12" max="26" width="8.6640625" customWidth="1"/>
  </cols>
  <sheetData>
    <row r="1" spans="1:26" ht="14.4">
      <c r="A1" s="15" t="s">
        <v>67</v>
      </c>
      <c r="B1" s="15" t="s">
        <v>18</v>
      </c>
      <c r="C1" s="16" t="s">
        <v>68</v>
      </c>
      <c r="D1" s="16" t="s">
        <v>69</v>
      </c>
      <c r="E1" s="16" t="s">
        <v>70</v>
      </c>
      <c r="F1" s="15" t="s">
        <v>71</v>
      </c>
      <c r="G1" s="15" t="s">
        <v>72</v>
      </c>
      <c r="H1" s="15" t="s">
        <v>73</v>
      </c>
      <c r="I1" s="15" t="s">
        <v>74</v>
      </c>
      <c r="J1" s="15" t="s">
        <v>75</v>
      </c>
      <c r="K1" s="15" t="s">
        <v>76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>
      <c r="A2" s="17" t="s">
        <v>265</v>
      </c>
      <c r="B2" s="17" t="s">
        <v>36</v>
      </c>
      <c r="C2" s="2" t="str">
        <f>IF(任務列表!$B2="","",VLOOKUP(任務列表!$A2,怪物表!$A$2:$K$13,3,))</f>
        <v>搗蛋松果獸</v>
      </c>
      <c r="D2" s="17" t="str">
        <f>IF(任務列表!$B2="","",VLOOKUP(任務列表!$A2,怪物表!$A$2:$K$13,5,))</f>
        <v>易</v>
      </c>
      <c r="E2" s="1" t="str">
        <f>IF(任務列表!$B2="","",VLOOKUP(任務列表!$A2,怪物表!$A$2:$K$13,7,))</f>
        <v>核心訓練 6 分鐘</v>
      </c>
      <c r="F2" s="17">
        <f>IF(任務列表!$B2="","",VLOOKUP(任務列表!$A2,怪物表!$A$2:$K$13,8,))</f>
        <v>2</v>
      </c>
      <c r="G2" s="17">
        <f>IF(任務列表!$B2="","",VLOOKUP(任務列表!$A2,怪物表!$A$2:$K$13,9,))</f>
        <v>3</v>
      </c>
      <c r="H2" s="17">
        <f>IF(任務列表!$B2="","",VLOOKUP(任務列表!$A2,怪物表!$A$2:$K$13,10,))</f>
        <v>-1</v>
      </c>
      <c r="I2" s="18">
        <v>46027</v>
      </c>
      <c r="J2" s="18">
        <f>IF(任務列表!$B2="","",任務列表!$I2+任務列表!$F2)</f>
        <v>46029</v>
      </c>
      <c r="K2" s="3" t="s">
        <v>281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4">
      <c r="A3" s="17" t="s">
        <v>267</v>
      </c>
      <c r="B3" s="17" t="s">
        <v>41</v>
      </c>
      <c r="C3" s="2" t="str">
        <f>IF(任務列表!$B3="","",VLOOKUP(任務列表!$A3,怪物表!$A$2:$K$13,3,))</f>
        <v>樹妖巡守者</v>
      </c>
      <c r="D3" s="17" t="str">
        <f>IF(任務列表!$B3="","",VLOOKUP(任務列表!$A3,怪物表!$A$2:$K$13,5,))</f>
        <v>中</v>
      </c>
      <c r="E3" s="1" t="str">
        <f>IF(任務列表!$B3="","",VLOOKUP(任務列表!$A3,怪物表!$A$2:$K$13,7,))</f>
        <v>核心訓練 12 分鐘 / 健走 25 分鐘</v>
      </c>
      <c r="F3" s="17">
        <f>IF(任務列表!$B3="","",VLOOKUP(任務列表!$A3,怪物表!$A$2:$K$13,8,))</f>
        <v>3</v>
      </c>
      <c r="G3" s="17">
        <f>IF(任務列表!$B3="","",VLOOKUP(任務列表!$A3,怪物表!$A$2:$K$13,9,))</f>
        <v>5</v>
      </c>
      <c r="H3" s="17">
        <f>IF(任務列表!$B3="","",VLOOKUP(任務列表!$A3,怪物表!$A$2:$K$13,10,))</f>
        <v>-2</v>
      </c>
      <c r="I3" s="18">
        <v>46027</v>
      </c>
      <c r="J3" s="18">
        <f>IF(任務列表!$B3="","",任務列表!$I3+任務列表!$F3)</f>
        <v>46030</v>
      </c>
      <c r="K3" s="3" t="s">
        <v>281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4">
      <c r="A4" s="17" t="s">
        <v>262</v>
      </c>
      <c r="B4" s="17" t="s">
        <v>45</v>
      </c>
      <c r="C4" s="2" t="str">
        <f>IF(任務列表!$B4="","",VLOOKUP(任務列表!$A4,怪物表!$A$2:$K$13,3,))</f>
        <v>路邊蘑菇怪</v>
      </c>
      <c r="D4" s="17" t="str">
        <f>IF(任務列表!$B4="","",VLOOKUP(任務列表!$A4,怪物表!$A$2:$K$13,5,))</f>
        <v>易</v>
      </c>
      <c r="E4" s="1" t="str">
        <f>IF(任務列表!$B4="","",VLOOKUP(任務列表!$A4,怪物表!$A$2:$K$13,7,))</f>
        <v>快走 15 分鐘</v>
      </c>
      <c r="F4" s="17">
        <f>IF(任務列表!$B4="","",VLOOKUP(任務列表!$A4,怪物表!$A$2:$K$13,8,))</f>
        <v>2</v>
      </c>
      <c r="G4" s="17">
        <f>IF(任務列表!$B4="","",VLOOKUP(任務列表!$A4,怪物表!$A$2:$K$13,9,))</f>
        <v>3</v>
      </c>
      <c r="H4" s="17">
        <f>IF(任務列表!$B4="","",VLOOKUP(任務列表!$A4,怪物表!$A$2:$K$13,10,))</f>
        <v>-1</v>
      </c>
      <c r="I4" s="18">
        <v>46027</v>
      </c>
      <c r="J4" s="18">
        <f>IF(任務列表!$B4="","",任務列表!$I4+任務列表!$F4)</f>
        <v>46029</v>
      </c>
      <c r="K4" s="3" t="s">
        <v>281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4">
      <c r="A5" s="17"/>
      <c r="B5" s="17"/>
      <c r="C5" s="1" t="str">
        <f>IF(任務列表!$B5="","",VLOOKUP(任務列表!$A5,怪物表!$A$2:$K$13,3,))</f>
        <v/>
      </c>
      <c r="D5" s="17" t="str">
        <f>IF(任務列表!$B5="","",VLOOKUP(任務列表!$A5,怪物表!$A$2:$K$13,5,))</f>
        <v/>
      </c>
      <c r="E5" s="1" t="str">
        <f>IF(任務列表!$B5="","",VLOOKUP(任務列表!$A5,怪物表!$A$2:$K$13,7,))</f>
        <v/>
      </c>
      <c r="F5" s="1" t="str">
        <f>IF(任務列表!$B5="","",VLOOKUP(任務列表!$A5,怪物表!$A$2:$K$13,8,))</f>
        <v/>
      </c>
      <c r="G5" s="1" t="str">
        <f>IF(任務列表!$B5="","",VLOOKUP(任務列表!$A5,怪物表!$A$2:$K$13,9,))</f>
        <v/>
      </c>
      <c r="H5" s="1" t="str">
        <f>IF(任務列表!$B5="","",VLOOKUP(任務列表!$A5,怪物表!$A$2:$K$13,10,))</f>
        <v/>
      </c>
      <c r="I5" s="18"/>
      <c r="J5" s="18" t="str">
        <f>IF(任務列表!$B5="","",任務列表!$I5+任務列表!$F5)</f>
        <v/>
      </c>
      <c r="K5" s="3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4">
      <c r="A6" s="17"/>
      <c r="B6" s="17"/>
      <c r="C6" s="1" t="str">
        <f>IF(任務列表!$B6="","",VLOOKUP(任務列表!$A6,怪物表!$A$2:$K$13,3,))</f>
        <v/>
      </c>
      <c r="D6" s="17" t="str">
        <f>IF(任務列表!$B6="","",VLOOKUP(任務列表!$A6,怪物表!$A$2:$K$13,5,))</f>
        <v/>
      </c>
      <c r="E6" s="1" t="str">
        <f>IF(任務列表!$B6="","",VLOOKUP(任務列表!$A6,怪物表!$A$2:$K$13,7,))</f>
        <v/>
      </c>
      <c r="F6" s="1" t="str">
        <f>IF(任務列表!$B6="","",VLOOKUP(任務列表!$A6,怪物表!$A$2:$K$13,8,))</f>
        <v/>
      </c>
      <c r="G6" s="1" t="str">
        <f>IF(任務列表!$B6="","",VLOOKUP(任務列表!$A6,怪物表!$A$2:$K$13,9,))</f>
        <v/>
      </c>
      <c r="H6" s="1" t="str">
        <f>IF(任務列表!$B6="","",VLOOKUP(任務列表!$A6,怪物表!$A$2:$K$13,10,))</f>
        <v/>
      </c>
      <c r="I6" s="18"/>
      <c r="J6" s="18" t="str">
        <f>IF(任務列表!$B6="","",任務列表!$I6+任務列表!$F6)</f>
        <v/>
      </c>
      <c r="K6" s="3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4">
      <c r="A7" s="17"/>
      <c r="B7" s="17"/>
      <c r="C7" s="1" t="str">
        <f>IF(任務列表!$B7="","",VLOOKUP(任務列表!$A7,怪物表!$A$2:$K$13,3,))</f>
        <v/>
      </c>
      <c r="D7" s="17" t="str">
        <f>IF(任務列表!$B7="","",VLOOKUP(任務列表!$A7,怪物表!$A$2:$K$13,5,))</f>
        <v/>
      </c>
      <c r="E7" s="1" t="str">
        <f>IF(任務列表!$B7="","",VLOOKUP(任務列表!$A7,怪物表!$A$2:$K$13,7,))</f>
        <v/>
      </c>
      <c r="F7" s="1" t="str">
        <f>IF(任務列表!$B7="","",VLOOKUP(任務列表!$A7,怪物表!$A$2:$K$13,8,))</f>
        <v/>
      </c>
      <c r="G7" s="1" t="str">
        <f>IF(任務列表!$B7="","",VLOOKUP(任務列表!$A7,怪物表!$A$2:$K$13,9,))</f>
        <v/>
      </c>
      <c r="H7" s="1" t="str">
        <f>IF(任務列表!$B7="","",VLOOKUP(任務列表!$A7,怪物表!$A$2:$K$13,10,))</f>
        <v/>
      </c>
      <c r="I7" s="18"/>
      <c r="J7" s="18" t="str">
        <f>IF(任務列表!$B7="","",任務列表!$I7+任務列表!$F7)</f>
        <v/>
      </c>
      <c r="K7" s="3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4">
      <c r="A8" s="17"/>
      <c r="B8" s="17"/>
      <c r="C8" s="1" t="str">
        <f>IF(任務列表!$B8="","",VLOOKUP(任務列表!$A8,怪物表!$A$2:$K$13,3,))</f>
        <v/>
      </c>
      <c r="D8" s="17" t="str">
        <f>IF(任務列表!$B8="","",VLOOKUP(任務列表!$A8,怪物表!$A$2:$K$13,5,))</f>
        <v/>
      </c>
      <c r="E8" s="1" t="str">
        <f>IF(任務列表!$B8="","",VLOOKUP(任務列表!$A8,怪物表!$A$2:$K$13,7,))</f>
        <v/>
      </c>
      <c r="F8" s="1" t="str">
        <f>IF(任務列表!$B8="","",VLOOKUP(任務列表!$A8,怪物表!$A$2:$K$13,8,))</f>
        <v/>
      </c>
      <c r="G8" s="1" t="str">
        <f>IF(任務列表!$B8="","",VLOOKUP(任務列表!$A8,怪物表!$A$2:$K$13,9,))</f>
        <v/>
      </c>
      <c r="H8" s="1" t="str">
        <f>IF(任務列表!$B8="","",VLOOKUP(任務列表!$A8,怪物表!$A$2:$K$13,10,))</f>
        <v/>
      </c>
      <c r="I8" s="18"/>
      <c r="J8" s="18" t="str">
        <f>IF(任務列表!$B8="","",任務列表!$I8+任務列表!$F8)</f>
        <v/>
      </c>
      <c r="K8" s="3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4">
      <c r="A9" s="17"/>
      <c r="B9" s="17"/>
      <c r="C9" s="1" t="str">
        <f>IF(任務列表!$B9="","",VLOOKUP(任務列表!$A9,怪物表!$A$2:$K$13,3,))</f>
        <v/>
      </c>
      <c r="D9" s="17" t="str">
        <f>IF(任務列表!$B9="","",VLOOKUP(任務列表!$A9,怪物表!$A$2:$K$13,5,))</f>
        <v/>
      </c>
      <c r="E9" s="1" t="str">
        <f>IF(任務列表!$B9="","",VLOOKUP(任務列表!$A9,怪物表!$A$2:$K$13,7,))</f>
        <v/>
      </c>
      <c r="F9" s="1" t="str">
        <f>IF(任務列表!$B9="","",VLOOKUP(任務列表!$A9,怪物表!$A$2:$K$13,8,))</f>
        <v/>
      </c>
      <c r="G9" s="1" t="str">
        <f>IF(任務列表!$B9="","",VLOOKUP(任務列表!$A9,怪物表!$A$2:$K$13,9,))</f>
        <v/>
      </c>
      <c r="H9" s="1" t="str">
        <f>IF(任務列表!$B9="","",VLOOKUP(任務列表!$A9,怪物表!$A$2:$K$13,10,))</f>
        <v/>
      </c>
      <c r="I9" s="18"/>
      <c r="J9" s="18" t="str">
        <f>IF(任務列表!$B9="","",任務列表!$I9+任務列表!$F9)</f>
        <v/>
      </c>
      <c r="K9" s="3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4">
      <c r="A10" s="1"/>
      <c r="B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4">
      <c r="A11" s="1"/>
      <c r="B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4">
      <c r="A12" s="1"/>
      <c r="B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4">
      <c r="A13" s="1"/>
      <c r="B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4">
      <c r="A14" s="1"/>
      <c r="B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4">
      <c r="A15" s="1"/>
      <c r="B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4">
      <c r="A16" s="1"/>
      <c r="B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4">
      <c r="A17" s="1"/>
      <c r="B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4">
      <c r="A18" s="1"/>
      <c r="B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4">
      <c r="A19" s="1"/>
      <c r="B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4">
      <c r="A20" s="1"/>
      <c r="B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honeticPr fontId="18" type="noConversion"/>
  <dataValidations count="1">
    <dataValidation type="list" allowBlank="1" showErrorMessage="1" sqref="K2:K9" xr:uid="{00000000-0002-0000-0200-000000000000}">
      <formula1>任務狀態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2DBDB"/>
  </sheetPr>
  <dimension ref="A1:L1000"/>
  <sheetViews>
    <sheetView workbookViewId="0">
      <selection activeCell="H23" sqref="H23"/>
    </sheetView>
  </sheetViews>
  <sheetFormatPr defaultColWidth="14.44140625" defaultRowHeight="15" customHeight="1"/>
  <cols>
    <col min="1" max="1" width="8.6640625" customWidth="1"/>
    <col min="2" max="2" width="11.109375" customWidth="1"/>
    <col min="3" max="3" width="10.109375" customWidth="1"/>
    <col min="4" max="4" width="12.33203125" customWidth="1"/>
    <col min="5" max="5" width="10" customWidth="1"/>
    <col min="6" max="6" width="10.88671875" customWidth="1"/>
    <col min="7" max="7" width="9.5546875" bestFit="1" customWidth="1"/>
    <col min="8" max="8" width="12.33203125" customWidth="1"/>
    <col min="9" max="9" width="16.109375" bestFit="1" customWidth="1"/>
    <col min="10" max="10" width="9.5546875" bestFit="1" customWidth="1"/>
    <col min="11" max="11" width="12.21875" customWidth="1"/>
    <col min="12" max="12" width="91.77734375" bestFit="1" customWidth="1"/>
    <col min="13" max="26" width="8.6640625" customWidth="1"/>
  </cols>
  <sheetData>
    <row r="1" spans="1:12" ht="14.25" customHeight="1">
      <c r="A1" s="19" t="s">
        <v>18</v>
      </c>
      <c r="B1" s="19" t="s">
        <v>54</v>
      </c>
      <c r="C1" s="19" t="s">
        <v>77</v>
      </c>
      <c r="D1" s="19" t="s">
        <v>78</v>
      </c>
      <c r="E1" s="19" t="s">
        <v>79</v>
      </c>
      <c r="F1" s="19" t="s">
        <v>80</v>
      </c>
      <c r="G1" s="19" t="s">
        <v>81</v>
      </c>
      <c r="H1" s="19" t="s">
        <v>82</v>
      </c>
      <c r="I1" s="19" t="s">
        <v>83</v>
      </c>
      <c r="J1" s="19" t="s">
        <v>84</v>
      </c>
      <c r="K1" s="19" t="s">
        <v>85</v>
      </c>
      <c r="L1" s="19" t="s">
        <v>86</v>
      </c>
    </row>
    <row r="2" spans="1:12" ht="14.25" customHeight="1">
      <c r="A2" s="36" t="s">
        <v>36</v>
      </c>
      <c r="B2" s="20" t="str">
        <f>IF(技能狀態!$A2="","",VLOOKUP(技能狀態!$A2,角色狀態表!$A$2:$B$4,2,FALSE))</f>
        <v>🗡️盜賊</v>
      </c>
      <c r="C2" s="20" t="s">
        <v>87</v>
      </c>
      <c r="D2" s="20" t="str">
        <f>IF(技能狀態!$A2="","",VLOOKUP(技能狀態!$C2,職業技能表!$A$2:$I$18,3,))</f>
        <v>急救</v>
      </c>
      <c r="E2" s="36" t="str">
        <f>IF(技能狀態!$A2="","",VLOOKUP(技能狀態!$C2,職業技能表!$A$2:$I$18,4,))</f>
        <v>主動</v>
      </c>
      <c r="F2" s="36">
        <f>IF(技能狀態!$A2="","",VLOOKUP(技能狀態!$C2,職業技能表!$A$2:$I$18,5,FALSE))</f>
        <v>-1</v>
      </c>
      <c r="G2" s="36" t="s">
        <v>88</v>
      </c>
      <c r="H2" s="20" t="str">
        <f>IF(技能狀態!$A2="","", 技能狀態!$D2 &amp; "(" &amp; 技能狀態!$J2 &amp; "/" &amp; 技能狀態!$I2 &amp; ")")</f>
        <v>急救(1/1)</v>
      </c>
      <c r="I2" s="20">
        <f>IF(技能狀態!$A2="","",VLOOKUP(技能狀態!$C2,職業技能表!$A$2:$I$18,7,FALSE))</f>
        <v>1</v>
      </c>
      <c r="J2" s="20">
        <v>1</v>
      </c>
      <c r="K2" s="20" t="str">
        <f>IF(技能狀態!$A2="","",VLOOKUP(技能狀態!$C2,職業技能表!$A$2:$I$18,8,FALSE))</f>
        <v>每週重置</v>
      </c>
      <c r="L2" s="20" t="str">
        <f>IF(技能狀態!$A2="","",VLOOKUP(技能狀態!$C2,職業技能表!$A$2:$I$18,9,FALSE))</f>
        <v>+1 HP 給對方</v>
      </c>
    </row>
    <row r="3" spans="1:12" ht="14.25" customHeight="1">
      <c r="A3" s="36" t="s">
        <v>36</v>
      </c>
      <c r="B3" s="20" t="str">
        <f>IF(技能狀態!$A3="","",VLOOKUP(技能狀態!$A3,角色狀態表!$A$2:$B$4,2,FALSE))</f>
        <v>🗡️盜賊</v>
      </c>
      <c r="C3" s="20" t="s">
        <v>89</v>
      </c>
      <c r="D3" s="20" t="str">
        <f>IF(技能狀態!$A3="","",VLOOKUP(技能狀態!$C3,職業技能表!$A$2:$I$18,3,))</f>
        <v>合體技</v>
      </c>
      <c r="E3" s="36" t="str">
        <f>IF(技能狀態!$A3="","",VLOOKUP(技能狀態!$C3,職業技能表!$A$2:$I$18,4,))</f>
        <v>主動</v>
      </c>
      <c r="F3" s="36">
        <f>IF(技能狀態!$A3="","",VLOOKUP(技能狀態!$C3,職業技能表!$A$2:$I$18,5,FALSE))</f>
        <v>-1</v>
      </c>
      <c r="G3" s="36" t="s">
        <v>88</v>
      </c>
      <c r="H3" s="20" t="str">
        <f>IF(技能狀態!$A3="","", 技能狀態!$D3 &amp; "(" &amp; 技能狀態!$J3 &amp; "/" &amp; 技能狀態!$I3 &amp; ")")</f>
        <v>合體技(1/1)</v>
      </c>
      <c r="I3" s="20">
        <f>IF(技能狀態!$A3="","",VLOOKUP(技能狀態!$C3,職業技能表!$A$2:$I$18,7,FALSE))</f>
        <v>1</v>
      </c>
      <c r="J3" s="20">
        <v>1</v>
      </c>
      <c r="K3" s="20" t="str">
        <f>IF(技能狀態!$A3="","",VLOOKUP(技能狀態!$C3,職業技能表!$A$2:$I$18,8,FALSE))</f>
        <v>每週重置</v>
      </c>
      <c r="L3" s="20" t="str">
        <f>IF(技能狀態!$A3="","",VLOOKUP(技能狀態!$C3,職業技能表!$A$2:$I$18,9,FALSE))</f>
        <v>雙方消耗各 1 MP，你們可同時運動 10–15 分鐘 → 統一視為「合體擊破」，成功後：任務 EXP ×2</v>
      </c>
    </row>
    <row r="4" spans="1:12" ht="14.25" customHeight="1">
      <c r="A4" s="36" t="s">
        <v>36</v>
      </c>
      <c r="B4" s="20" t="str">
        <f>IF(技能狀態!$A4="","",VLOOKUP(技能狀態!$A4,角色狀態表!$A$2:$B$4,2,FALSE))</f>
        <v>🗡️盜賊</v>
      </c>
      <c r="C4" s="20" t="s">
        <v>51</v>
      </c>
      <c r="D4" s="20" t="str">
        <f>IF(技能狀態!$A4="","",VLOOKUP(技能狀態!$C4,職業技能表!$A$2:$I$18,3,))</f>
        <v>延長時限</v>
      </c>
      <c r="E4" s="36" t="str">
        <f>IF(技能狀態!$A8="","",VLOOKUP(技能狀態!$C8,職業技能表!$A$2:$I$18,4,))</f>
        <v>主動</v>
      </c>
      <c r="F4" s="36">
        <f>IF(技能狀態!$A4="","",VLOOKUP(技能狀態!$C4,職業技能表!$A$2:$I$18,5,FALSE))</f>
        <v>-1</v>
      </c>
      <c r="G4" s="36" t="s">
        <v>88</v>
      </c>
      <c r="H4" s="20" t="str">
        <f>IF(技能狀態!$A4="","", 技能狀態!$D4 &amp; "(" &amp; 技能狀態!$J4 &amp; "/" &amp; 技能狀態!$I4 &amp; ")")</f>
        <v>延長時限(1/1)</v>
      </c>
      <c r="I4" s="20">
        <f>IF(技能狀態!$A8="","",VLOOKUP(技能狀態!$C8,職業技能表!$A$2:$I$18,7,FALSE))</f>
        <v>1</v>
      </c>
      <c r="J4" s="20">
        <v>1</v>
      </c>
      <c r="K4" s="20" t="str">
        <f>IF(技能狀態!$A8="","",VLOOKUP(技能狀態!$C8,職業技能表!$A$2:$I$18,8,FALSE))</f>
        <v>每週重置</v>
      </c>
      <c r="L4" s="20" t="str">
        <f>IF(技能狀態!$A4="","",VLOOKUP(技能狀態!$C4,職業技能表!$A$2:$I$18,9,FALSE))</f>
        <v>+1 天挑戰時間</v>
      </c>
    </row>
    <row r="5" spans="1:12" ht="14.25" customHeight="1">
      <c r="A5" s="36" t="s">
        <v>41</v>
      </c>
      <c r="B5" s="20" t="str">
        <f>IF(技能狀態!$A5="","",VLOOKUP(技能狀態!$A5,角色狀態表!$A$2:$B$4,2,FALSE))</f>
        <v>🔮法師</v>
      </c>
      <c r="C5" s="20" t="s">
        <v>87</v>
      </c>
      <c r="D5" s="20" t="str">
        <f>IF(技能狀態!$A5="","",VLOOKUP(技能狀態!$C5,職業技能表!$A$2:$I$18,3,))</f>
        <v>急救</v>
      </c>
      <c r="E5" s="36" t="str">
        <f>IF(技能狀態!$A6="","",VLOOKUP(技能狀態!$C6,職業技能表!$A$2:$I$18,4,))</f>
        <v>主動</v>
      </c>
      <c r="F5" s="36">
        <f>IF(技能狀態!$A5="","",VLOOKUP(技能狀態!$C5,職業技能表!$A$2:$I$18,5,FALSE))</f>
        <v>-1</v>
      </c>
      <c r="G5" s="36" t="s">
        <v>88</v>
      </c>
      <c r="H5" s="20" t="str">
        <f>IF(技能狀態!$A5="","", 技能狀態!$D5 &amp; "(" &amp; 技能狀態!$J5 &amp; "/" &amp; 技能狀態!$I5 &amp; ")")</f>
        <v>急救(1/1)</v>
      </c>
      <c r="I5" s="20">
        <f>IF(技能狀態!$A6="","",VLOOKUP(技能狀態!$C6,職業技能表!$A$2:$I$18,7,FALSE))</f>
        <v>1</v>
      </c>
      <c r="J5" s="20">
        <v>1</v>
      </c>
      <c r="K5" s="20" t="str">
        <f>IF(技能狀態!$A6="","",VLOOKUP(技能狀態!$C6,職業技能表!$A$2:$I$18,8,FALSE))</f>
        <v>每週重置</v>
      </c>
      <c r="L5" s="20" t="str">
        <f>IF(技能狀態!$A5="","",VLOOKUP(技能狀態!$C5,職業技能表!$A$2:$I$18,9,FALSE))</f>
        <v>+1 HP 給對方</v>
      </c>
    </row>
    <row r="6" spans="1:12" ht="14.25" customHeight="1">
      <c r="A6" s="36" t="s">
        <v>41</v>
      </c>
      <c r="B6" s="20" t="str">
        <f>IF(技能狀態!$A6="","",VLOOKUP(技能狀態!$A6,角色狀態表!$A$2:$B$4,2,FALSE))</f>
        <v>🔮法師</v>
      </c>
      <c r="C6" s="20" t="s">
        <v>89</v>
      </c>
      <c r="D6" s="20" t="str">
        <f>IF(技能狀態!$A6="","",VLOOKUP(技能狀態!$C6,職業技能表!$A$2:$I$18,3,))</f>
        <v>合體技</v>
      </c>
      <c r="E6" s="36" t="str">
        <f>IF(技能狀態!$A7="","",VLOOKUP(技能狀態!$C7,職業技能表!$A$2:$I$18,4,))</f>
        <v>主動</v>
      </c>
      <c r="F6" s="36">
        <f>IF(技能狀態!$A6="","",VLOOKUP(技能狀態!$C6,職業技能表!$A$2:$I$18,5,FALSE))</f>
        <v>-1</v>
      </c>
      <c r="G6" s="36" t="s">
        <v>88</v>
      </c>
      <c r="H6" s="20" t="str">
        <f>IF(技能狀態!$A6="","", 技能狀態!$D6 &amp; "(" &amp; 技能狀態!$J6 &amp; "/" &amp; 技能狀態!$I6 &amp; ")")</f>
        <v>合體技(0/1)</v>
      </c>
      <c r="I6" s="20">
        <f>IF(技能狀態!$A7="","",VLOOKUP(技能狀態!$C7,職業技能表!$A$2:$I$18,7,FALSE))</f>
        <v>1</v>
      </c>
      <c r="J6" s="20">
        <v>0</v>
      </c>
      <c r="K6" s="20" t="str">
        <f>IF(技能狀態!$A7="","",VLOOKUP(技能狀態!$C7,職業技能表!$A$2:$I$18,8,FALSE))</f>
        <v>每週重置</v>
      </c>
      <c r="L6" s="20" t="str">
        <f>IF(技能狀態!$A6="","",VLOOKUP(技能狀態!$C6,職業技能表!$A$2:$I$18,9,FALSE))</f>
        <v>雙方消耗各 1 MP，你們可同時運動 10–15 分鐘 → 統一視為「合體擊破」，成功後：任務 EXP ×2</v>
      </c>
    </row>
    <row r="7" spans="1:12" ht="14.25" customHeight="1">
      <c r="A7" s="36" t="s">
        <v>41</v>
      </c>
      <c r="B7" s="20" t="str">
        <f>IF(技能狀態!$A7="","",VLOOKUP(技能狀態!$A7,角色狀態表!$A$2:$B$4,2,FALSE))</f>
        <v>🔮法師</v>
      </c>
      <c r="C7" s="20" t="s">
        <v>91</v>
      </c>
      <c r="D7" s="20" t="str">
        <f>IF(技能狀態!$A7="","",VLOOKUP(技能狀態!$C7,職業技能表!$A$2:$I$18,3,))</f>
        <v>弱化怪物</v>
      </c>
      <c r="E7" s="36" t="str">
        <f>IF(技能狀態!$A10="","",VLOOKUP(技能狀態!$C10,職業技能表!$A$2:$I$18,4,))</f>
        <v>主動</v>
      </c>
      <c r="F7" s="36">
        <f>IF(技能狀態!$A7="","",VLOOKUP(技能狀態!$C7,職業技能表!$A$2:$I$18,5,FALSE))</f>
        <v>-2</v>
      </c>
      <c r="G7" s="36" t="s">
        <v>88</v>
      </c>
      <c r="H7" s="20" t="str">
        <f>IF(技能狀態!$A7="","", 技能狀態!$D7 &amp; "(" &amp; 技能狀態!$J7 &amp; "/" &amp; 技能狀態!$I7 &amp; ")")</f>
        <v>弱化怪物(1/1)</v>
      </c>
      <c r="I7" s="20">
        <f>IF(技能狀態!$A10="","",VLOOKUP(技能狀態!$C10,職業技能表!$A$2:$I$18,7,FALSE))</f>
        <v>1</v>
      </c>
      <c r="J7" s="20">
        <v>1</v>
      </c>
      <c r="K7" s="20" t="str">
        <f>IF(技能狀態!$A10="","",VLOOKUP(技能狀態!$C10,職業技能表!$A$2:$I$18,8,FALSE))</f>
        <v>每週重置</v>
      </c>
      <c r="L7" s="20" t="str">
        <f>IF(技能狀態!$A7="","",VLOOKUP(技能狀態!$C7,職業技能表!$A$2:$I$18,9,FALSE))</f>
        <v>將對方怪物難度降一級（難→中、中→易）</v>
      </c>
    </row>
    <row r="8" spans="1:12" ht="14.25" customHeight="1">
      <c r="A8" s="36" t="s">
        <v>45</v>
      </c>
      <c r="B8" s="20" t="str">
        <f>IF(技能狀態!$A8="","",VLOOKUP(技能狀態!$A8,角色狀態表!$A$2:$B$4,2,FALSE))</f>
        <v>🏹弓箭手</v>
      </c>
      <c r="C8" s="20" t="s">
        <v>87</v>
      </c>
      <c r="D8" s="20" t="str">
        <f>IF(技能狀態!$A8="","",VLOOKUP(技能狀態!$C8,職業技能表!$A$2:$I$18,3,))</f>
        <v>急救</v>
      </c>
      <c r="E8" s="36" t="str">
        <f>IF(技能狀態!$A4="","",VLOOKUP(技能狀態!$C4,職業技能表!$A$2:$I$18,4,))</f>
        <v>主動</v>
      </c>
      <c r="F8" s="36">
        <f>IF(技能狀態!$A8="","",VLOOKUP(技能狀態!$C8,職業技能表!$A$2:$I$18,5,FALSE))</f>
        <v>-1</v>
      </c>
      <c r="G8" s="36" t="s">
        <v>88</v>
      </c>
      <c r="H8" s="20" t="str">
        <f>IF(技能狀態!$A8="","", 技能狀態!$D8 &amp; "(" &amp; 技能狀態!$J8 &amp; "/" &amp; 技能狀態!$I8 &amp; ")")</f>
        <v>急救(1/1)</v>
      </c>
      <c r="I8" s="20">
        <f>IF(技能狀態!$A4="","",VLOOKUP(技能狀態!$C4,職業技能表!$A$2:$I$18,7,FALSE))</f>
        <v>1</v>
      </c>
      <c r="J8" s="20">
        <v>1</v>
      </c>
      <c r="K8" s="20" t="str">
        <f>IF(技能狀態!$A4="","",VLOOKUP(技能狀態!$C4,職業技能表!$A$2:$I$18,8,FALSE))</f>
        <v>每週重置</v>
      </c>
      <c r="L8" s="20" t="str">
        <f>IF(技能狀態!$A8="","",VLOOKUP(技能狀態!$C8,職業技能表!$A$2:$I$18,9,FALSE))</f>
        <v>+1 HP 給對方</v>
      </c>
    </row>
    <row r="9" spans="1:12" ht="14.25" customHeight="1">
      <c r="A9" s="36" t="s">
        <v>45</v>
      </c>
      <c r="B9" s="20" t="str">
        <f>IF(技能狀態!$A9="","",VLOOKUP(技能狀態!$A9,角色狀態表!$A$2:$B$4,2,FALSE))</f>
        <v>🏹弓箭手</v>
      </c>
      <c r="C9" s="20" t="s">
        <v>89</v>
      </c>
      <c r="D9" s="20" t="str">
        <f>IF(技能狀態!$A9="","",VLOOKUP(技能狀態!$C9,職業技能表!$A$2:$I$18,3,))</f>
        <v>合體技</v>
      </c>
      <c r="E9" s="36" t="str">
        <f>IF(技能狀態!$A5="","",VLOOKUP(技能狀態!$C5,職業技能表!$A$2:$I$18,4,))</f>
        <v>主動</v>
      </c>
      <c r="F9" s="36">
        <f>IF(技能狀態!$A9="","",VLOOKUP(技能狀態!$C9,職業技能表!$A$2:$I$18,5,FALSE))</f>
        <v>-1</v>
      </c>
      <c r="G9" s="36" t="s">
        <v>88</v>
      </c>
      <c r="H9" s="20" t="str">
        <f>IF(技能狀態!$A9="","", 技能狀態!$D9 &amp; "(" &amp; 技能狀態!$J9 &amp; "/" &amp; 技能狀態!$I9 &amp; ")")</f>
        <v>合體技(0/1)</v>
      </c>
      <c r="I9" s="20">
        <f>IF(技能狀態!$A5="","",VLOOKUP(技能狀態!$C5,職業技能表!$A$2:$I$18,7,FALSE))</f>
        <v>1</v>
      </c>
      <c r="J9" s="20">
        <v>0</v>
      </c>
      <c r="K9" s="20" t="str">
        <f>IF(技能狀態!$A5="","",VLOOKUP(技能狀態!$C5,職業技能表!$A$2:$I$18,8,FALSE))</f>
        <v>每週重置</v>
      </c>
      <c r="L9" s="20" t="str">
        <f>IF(技能狀態!$A9="","",VLOOKUP(技能狀態!$C9,職業技能表!$A$2:$I$18,9,FALSE))</f>
        <v>雙方消耗各 1 MP，你們可同時運動 10–15 分鐘 → 統一視為「合體擊破」，成功後：任務 EXP ×2</v>
      </c>
    </row>
    <row r="10" spans="1:12" ht="14.25" customHeight="1">
      <c r="A10" s="36" t="s">
        <v>45</v>
      </c>
      <c r="B10" s="20" t="str">
        <f>IF(技能狀態!$A10="","",VLOOKUP(技能狀態!$A10,角色狀態表!$A$2:$B$4,2,FALSE))</f>
        <v>🏹弓箭手</v>
      </c>
      <c r="C10" s="20" t="s">
        <v>90</v>
      </c>
      <c r="D10" s="20" t="str">
        <f>IF(技能狀態!$A10="","",VLOOKUP(技能狀態!$C10,職業技能表!$A$2:$I$18,3,))</f>
        <v>遠距支援</v>
      </c>
      <c r="E10" s="36" t="str">
        <f>IF(技能狀態!$A9="","",VLOOKUP(技能狀態!$C9,職業技能表!$A$2:$I$18,4,))</f>
        <v>主動</v>
      </c>
      <c r="F10" s="36">
        <f>IF(技能狀態!$A10="","",VLOOKUP(技能狀態!$C10,職業技能表!$A$2:$I$18,5,FALSE))</f>
        <v>-1</v>
      </c>
      <c r="G10" s="36" t="s">
        <v>88</v>
      </c>
      <c r="H10" s="20" t="str">
        <f>IF(技能狀態!$A10="","", 技能狀態!$D10 &amp; "(" &amp; 技能狀態!$J10 &amp; "/" &amp; 技能狀態!$I10 &amp; ")")</f>
        <v>遠距支援(1/1)</v>
      </c>
      <c r="I10" s="20">
        <f>IF(技能狀態!$A9="","",VLOOKUP(技能狀態!$C9,職業技能表!$A$2:$I$18,7,FALSE))</f>
        <v>1</v>
      </c>
      <c r="J10" s="20">
        <v>1</v>
      </c>
      <c r="K10" s="20" t="str">
        <f>IF(技能狀態!$A9="","",VLOOKUP(技能狀態!$C9,職業技能表!$A$2:$I$18,8,FALSE))</f>
        <v>每週重置</v>
      </c>
      <c r="L10" s="20" t="str">
        <f>IF(技能狀態!$A10="","",VLOOKUP(技能狀態!$C10,職業技能表!$A$2:$I$18,9,FALSE))</f>
        <v>指定一名隊友，其下一次怪物失敗時不扣 HP</v>
      </c>
    </row>
    <row r="11" spans="1:12" ht="14.25" customHeight="1">
      <c r="A11" s="36" t="s">
        <v>248</v>
      </c>
      <c r="B11" s="41" t="str">
        <f>IF(技能狀態!$A11="","",VLOOKUP(技能狀態!$A11,角色狀態表!$A$2:$B$4,2,FALSE))</f>
        <v>🔮法師</v>
      </c>
      <c r="C11" s="20" t="s">
        <v>285</v>
      </c>
      <c r="D11" s="41" t="str">
        <f>IF(技能狀態!$A11="","",VLOOKUP(技能狀態!$C11,職業技能表!$A$2:$I$28,3,))</f>
        <v>恢復光環</v>
      </c>
      <c r="E11" s="45" t="str">
        <f>IF(技能狀態!$A10="","",VLOOKUP(技能狀態!$C10,職業技能表!$A$2:$I$28,4,))</f>
        <v>主動</v>
      </c>
      <c r="F11" s="42">
        <f>IF(技能狀態!$A11="","",VLOOKUP(技能狀態!$C11,職業技能表!$A$2:$I$18,5,FALSE))</f>
        <v>0</v>
      </c>
      <c r="G11" s="36" t="s">
        <v>286</v>
      </c>
      <c r="H11" s="41" t="str">
        <f>IF(技能狀態!$A11="","", 技能狀態!$D11 &amp; "(" &amp; 技能狀態!$J11 &amp; "/" &amp; 技能狀態!$I11 &amp; ")")</f>
        <v>恢復光環(2/2)</v>
      </c>
      <c r="I11">
        <v>2</v>
      </c>
      <c r="J11">
        <v>2</v>
      </c>
      <c r="K11" s="44" t="str">
        <f>IF(技能狀態!$A10="","",VLOOKUP(技能狀態!$C10,職業技能表!$A$2:$I$28,8,FALSE))</f>
        <v>每週重置</v>
      </c>
      <c r="L11" s="41" t="str">
        <f>IF(技能狀態!$A11="","",VLOOKUP(技能狀態!$C11,職業技能表!$A$2:$I$18,9,FALSE))</f>
        <v>每完成 2 次運動，自動回 1 MP（每週上限 2）</v>
      </c>
    </row>
    <row r="12" spans="1:12" ht="14.25" customHeight="1"/>
    <row r="13" spans="1:12" ht="14.25" customHeight="1"/>
    <row r="14" spans="1:12" ht="14.25" customHeight="1"/>
    <row r="15" spans="1:12" ht="14.25" customHeight="1"/>
    <row r="16" spans="1:1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18" type="noConversion"/>
  <pageMargins left="0.7" right="0.7" top="0.75" bottom="0.75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1"/>
  <sheetViews>
    <sheetView workbookViewId="0"/>
  </sheetViews>
  <sheetFormatPr defaultColWidth="14.44140625" defaultRowHeight="15" customHeight="1"/>
  <cols>
    <col min="1" max="2" width="12.33203125" customWidth="1"/>
    <col min="3" max="3" width="19.88671875" customWidth="1"/>
    <col min="4" max="4" width="10" customWidth="1"/>
    <col min="5" max="5" width="41.33203125" customWidth="1"/>
    <col min="6" max="6" width="13.6640625" customWidth="1"/>
    <col min="7" max="7" width="73.5546875" customWidth="1"/>
    <col min="8" max="26" width="8.6640625" customWidth="1"/>
  </cols>
  <sheetData>
    <row r="1" spans="1:26" ht="14.25" customHeight="1">
      <c r="A1" s="21" t="s">
        <v>92</v>
      </c>
      <c r="B1" s="21" t="s">
        <v>93</v>
      </c>
      <c r="C1" s="21" t="s">
        <v>94</v>
      </c>
      <c r="D1" s="21" t="s">
        <v>95</v>
      </c>
      <c r="E1" s="21" t="s">
        <v>96</v>
      </c>
      <c r="F1" s="39" t="s">
        <v>97</v>
      </c>
      <c r="G1" s="21" t="s">
        <v>98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17" t="s">
        <v>249</v>
      </c>
      <c r="B2" s="17" t="s">
        <v>99</v>
      </c>
      <c r="C2" s="1" t="s">
        <v>100</v>
      </c>
      <c r="D2" s="3" t="s">
        <v>101</v>
      </c>
      <c r="E2" s="1" t="s">
        <v>102</v>
      </c>
      <c r="F2" s="17">
        <v>1</v>
      </c>
      <c r="G2" s="1" t="s">
        <v>103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>
      <c r="A3" s="17" t="s">
        <v>250</v>
      </c>
      <c r="B3" s="17" t="s">
        <v>99</v>
      </c>
      <c r="C3" s="1" t="s">
        <v>34</v>
      </c>
      <c r="D3" s="3" t="s">
        <v>104</v>
      </c>
      <c r="E3" s="1" t="s">
        <v>105</v>
      </c>
      <c r="F3" s="17">
        <v>2</v>
      </c>
      <c r="G3" s="1" t="s">
        <v>35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>
      <c r="A4" s="17" t="s">
        <v>251</v>
      </c>
      <c r="B4" s="17" t="s">
        <v>99</v>
      </c>
      <c r="C4" s="1" t="s">
        <v>106</v>
      </c>
      <c r="D4" s="3" t="s">
        <v>107</v>
      </c>
      <c r="E4" s="1" t="s">
        <v>108</v>
      </c>
      <c r="F4" s="17">
        <v>2</v>
      </c>
      <c r="G4" s="1" t="s">
        <v>109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>
      <c r="A5" s="17" t="s">
        <v>252</v>
      </c>
      <c r="B5" s="17" t="s">
        <v>99</v>
      </c>
      <c r="C5" s="1" t="s">
        <v>110</v>
      </c>
      <c r="D5" s="3" t="s">
        <v>111</v>
      </c>
      <c r="E5" s="1" t="s">
        <v>112</v>
      </c>
      <c r="F5" s="17">
        <v>2</v>
      </c>
      <c r="G5" s="1" t="s">
        <v>113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>
      <c r="A6" s="17" t="s">
        <v>277</v>
      </c>
      <c r="B6" s="17" t="s">
        <v>99</v>
      </c>
      <c r="C6" s="1" t="s">
        <v>276</v>
      </c>
      <c r="D6" s="3"/>
      <c r="E6" s="1" t="s">
        <v>278</v>
      </c>
      <c r="F6" s="17">
        <v>1</v>
      </c>
      <c r="G6" s="1" t="s">
        <v>279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>
      <c r="A7" s="17" t="s">
        <v>253</v>
      </c>
      <c r="B7" s="17" t="s">
        <v>114</v>
      </c>
      <c r="C7" s="1" t="s">
        <v>115</v>
      </c>
      <c r="D7" s="3" t="s">
        <v>116</v>
      </c>
      <c r="E7" s="1" t="s">
        <v>117</v>
      </c>
      <c r="F7" s="17">
        <v>1</v>
      </c>
      <c r="G7" s="1" t="s">
        <v>118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>
      <c r="A8" s="17" t="s">
        <v>254</v>
      </c>
      <c r="B8" s="17" t="s">
        <v>114</v>
      </c>
      <c r="C8" s="1" t="s">
        <v>119</v>
      </c>
      <c r="D8" s="3" t="s">
        <v>120</v>
      </c>
      <c r="E8" s="1" t="s">
        <v>121</v>
      </c>
      <c r="F8" s="17">
        <v>-1</v>
      </c>
      <c r="G8" s="1" t="s">
        <v>122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>
      <c r="A9" s="17" t="s">
        <v>255</v>
      </c>
      <c r="B9" s="17" t="s">
        <v>114</v>
      </c>
      <c r="C9" s="1" t="s">
        <v>123</v>
      </c>
      <c r="D9" s="3" t="s">
        <v>124</v>
      </c>
      <c r="E9" s="1" t="s">
        <v>125</v>
      </c>
      <c r="F9" s="17">
        <v>0</v>
      </c>
      <c r="G9" s="1" t="s">
        <v>126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>
      <c r="A10" s="17" t="s">
        <v>256</v>
      </c>
      <c r="B10" s="17" t="s">
        <v>114</v>
      </c>
      <c r="C10" s="1" t="s">
        <v>127</v>
      </c>
      <c r="D10" s="3" t="s">
        <v>128</v>
      </c>
      <c r="E10" s="1" t="s">
        <v>129</v>
      </c>
      <c r="F10" s="17">
        <v>1</v>
      </c>
      <c r="G10" s="1" t="s">
        <v>130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>
      <c r="A11" s="17" t="s">
        <v>257</v>
      </c>
      <c r="B11" s="17" t="s">
        <v>131</v>
      </c>
      <c r="C11" s="1" t="s">
        <v>132</v>
      </c>
      <c r="D11" s="3" t="s">
        <v>133</v>
      </c>
      <c r="E11" s="1" t="s">
        <v>134</v>
      </c>
      <c r="F11" s="17">
        <v>0</v>
      </c>
      <c r="G11" s="1" t="s">
        <v>135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>
      <c r="A12" s="17" t="s">
        <v>258</v>
      </c>
      <c r="B12" s="17" t="s">
        <v>131</v>
      </c>
      <c r="C12" s="1" t="s">
        <v>136</v>
      </c>
      <c r="D12" s="3" t="s">
        <v>137</v>
      </c>
      <c r="E12" s="1" t="s">
        <v>138</v>
      </c>
      <c r="F12" s="17">
        <v>5</v>
      </c>
      <c r="G12" s="1" t="s">
        <v>139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>
      <c r="A13" s="17" t="s">
        <v>259</v>
      </c>
      <c r="B13" s="17" t="s">
        <v>131</v>
      </c>
      <c r="C13" s="1" t="s">
        <v>140</v>
      </c>
      <c r="D13" s="3" t="s">
        <v>141</v>
      </c>
      <c r="E13" s="1" t="s">
        <v>142</v>
      </c>
      <c r="F13" s="17">
        <v>0</v>
      </c>
      <c r="G13" s="1" t="s">
        <v>143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17" t="s">
        <v>260</v>
      </c>
      <c r="B14" s="17" t="s">
        <v>131</v>
      </c>
      <c r="C14" s="1" t="s">
        <v>144</v>
      </c>
      <c r="D14" s="3" t="s">
        <v>145</v>
      </c>
      <c r="E14" s="1" t="s">
        <v>146</v>
      </c>
      <c r="F14" s="17">
        <v>3</v>
      </c>
      <c r="G14" s="1" t="s">
        <v>147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>
      <c r="A15" s="17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>
      <c r="A16" s="17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>
      <c r="A17" s="17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>
      <c r="A18" s="17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>
      <c r="A19" s="17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17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17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17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17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>
      <c r="A24" s="17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>
      <c r="A25" s="17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17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>
      <c r="A27" s="17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17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>
      <c r="A29" s="17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>
      <c r="A30" s="17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>
      <c r="A31" s="17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17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>
      <c r="A33" s="17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17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>
      <c r="A35" s="17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>
      <c r="A36" s="17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17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>
      <c r="A38" s="17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17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17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17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17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17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17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17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17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17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7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7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7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7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17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17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7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17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7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17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17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17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17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17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17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17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17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17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17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17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17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17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17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17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17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17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17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17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17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17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17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7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7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7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7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7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7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7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7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7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7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7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7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7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7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7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7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7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7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7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7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7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7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7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7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7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7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7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7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7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7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7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7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7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7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7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7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7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7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7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7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7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7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7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7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7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7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7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7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7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7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7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7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7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7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7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7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7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7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7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7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7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7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7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7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7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7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7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7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7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7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7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7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7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7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7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7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7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7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7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7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7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7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7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7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7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7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7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7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7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7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7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7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7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7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7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7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7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7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7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7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7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7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7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7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7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7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7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7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7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7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7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7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7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7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7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7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7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7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7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7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7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7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7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7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7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7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7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7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7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7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7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7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7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7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7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7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7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7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7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7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7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7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7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7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7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7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7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7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7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7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7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7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7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7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7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7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7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7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7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7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7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7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7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7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7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7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7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7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7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7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7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7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7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7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7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7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7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7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7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7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7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7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7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7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7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7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7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7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7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7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7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7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7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7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7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7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7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7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7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7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7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7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7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7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7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7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7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7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7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7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7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7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7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7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7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7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7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7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7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7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7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7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7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7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7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7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7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7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7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7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7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7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7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7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7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7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7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7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7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7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7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7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7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7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7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7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7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7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7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7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7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7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7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7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7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7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7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7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7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7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7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7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7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7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7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7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7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7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7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7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7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7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7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7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7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7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7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7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7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7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7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7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7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7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7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7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7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7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7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7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7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7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7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7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7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7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7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7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7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7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7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7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7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7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7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7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7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7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7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7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7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7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7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7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7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7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7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7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7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7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7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7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7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7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7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7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7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7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7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7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7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7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7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7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7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7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7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7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7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7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7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7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7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7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7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7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7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7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7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7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7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7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7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7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7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7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7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7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7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7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7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7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7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7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7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7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7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7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7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7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7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7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7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7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7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7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7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7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7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7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7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7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7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7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7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7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7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7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7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7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7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7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7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7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7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7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7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7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7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7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7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7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7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7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7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7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7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7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7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7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7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7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7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7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7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7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7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7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7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7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7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7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7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7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7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7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7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7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7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7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7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7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7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7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7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7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7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7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7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7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7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7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7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7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7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7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7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7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7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7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7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7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7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7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7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7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7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7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7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7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7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7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7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7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7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7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7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7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7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7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7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7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7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7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7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7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7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7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7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7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7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7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7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7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7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7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7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7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7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7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7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7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7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7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7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7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7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7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7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7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7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7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7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7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7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7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7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7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7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7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7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7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7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7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7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7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7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7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7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7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7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7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7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7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7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7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7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7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7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7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7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7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7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7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7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7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7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7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7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7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7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7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7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7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7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7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7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7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7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7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7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7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7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7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7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7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7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7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7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7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7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7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7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7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7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7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7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7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7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7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7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7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7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7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7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7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7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7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7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7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7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7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7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7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7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7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7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7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7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7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7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7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7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7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7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7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7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7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7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7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7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7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7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7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7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7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7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7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7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7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7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7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7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7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7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7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7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7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7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7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7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7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7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7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7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7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7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7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7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7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7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7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7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7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7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7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7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7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7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7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7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7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7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7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7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7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7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7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7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7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7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7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7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7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7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7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7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7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7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7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7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7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7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7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7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7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7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7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7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7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7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7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7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7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7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7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7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7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7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7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7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7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7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7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7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7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7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7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7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7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7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7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7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7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7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7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7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7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7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7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7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7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7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7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7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7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7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7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7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7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7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7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7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7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7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7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7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7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7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7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7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7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7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7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7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7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7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7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7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7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7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7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7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7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7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7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7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7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7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7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7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7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7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7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7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7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7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7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7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7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7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7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7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7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7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7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7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7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7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7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7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7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7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7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7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7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7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7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7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7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7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7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7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7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7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7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7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7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7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7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7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7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7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7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7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7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7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7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7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7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7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7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7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7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7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7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7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7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7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7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7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7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7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7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7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7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7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7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7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7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7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7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7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7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7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7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7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7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7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7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7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7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7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7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7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7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7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7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7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7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7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7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7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7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7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7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7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7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7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7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7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7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7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7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7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7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7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7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7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7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7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7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7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7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7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7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7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7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7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7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7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7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7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7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7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7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7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7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7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7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7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7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7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7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7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7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7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7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7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7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7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7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7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7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7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7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7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7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7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7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7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7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7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7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7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7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7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7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7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7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7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7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7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7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7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7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7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7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7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7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7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7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7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7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7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>
      <c r="A994" s="17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>
      <c r="A995" s="17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>
      <c r="A996" s="17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>
      <c r="A997" s="17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>
      <c r="A998" s="17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>
      <c r="A999" s="17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>
      <c r="A1000" s="17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4.25" customHeight="1">
      <c r="A1001" s="17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phoneticPr fontId="18" type="noConversion"/>
  <pageMargins left="0.75" right="0.75" top="1" bottom="1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00"/>
  <sheetViews>
    <sheetView workbookViewId="0"/>
  </sheetViews>
  <sheetFormatPr defaultColWidth="14.44140625" defaultRowHeight="15" customHeight="1"/>
  <cols>
    <col min="1" max="2" width="12.33203125" customWidth="1"/>
    <col min="3" max="3" width="22.109375" customWidth="1"/>
    <col min="4" max="4" width="46.109375" customWidth="1"/>
    <col min="5" max="5" width="12.33203125" customWidth="1"/>
    <col min="6" max="6" width="16.88671875" customWidth="1"/>
    <col min="7" max="7" width="33.44140625" customWidth="1"/>
    <col min="8" max="8" width="12.44140625" customWidth="1"/>
    <col min="9" max="9" width="11.88671875" customWidth="1"/>
    <col min="10" max="10" width="10.44140625" customWidth="1"/>
    <col min="11" max="26" width="8.6640625" customWidth="1"/>
  </cols>
  <sheetData>
    <row r="1" spans="1:11" ht="14.25" customHeight="1">
      <c r="A1" s="22" t="s">
        <v>148</v>
      </c>
      <c r="B1" s="22" t="s">
        <v>149</v>
      </c>
      <c r="C1" s="22" t="s">
        <v>68</v>
      </c>
      <c r="D1" s="22" t="s">
        <v>150</v>
      </c>
      <c r="E1" s="22" t="s">
        <v>151</v>
      </c>
      <c r="F1" s="22" t="s">
        <v>152</v>
      </c>
      <c r="G1" s="22" t="s">
        <v>70</v>
      </c>
      <c r="H1" s="22" t="s">
        <v>153</v>
      </c>
      <c r="I1" s="22" t="s">
        <v>72</v>
      </c>
      <c r="J1" s="22" t="s">
        <v>154</v>
      </c>
      <c r="K1" s="22" t="s">
        <v>155</v>
      </c>
    </row>
    <row r="2" spans="1:11" ht="14.25" customHeight="1">
      <c r="A2" s="20" t="s">
        <v>261</v>
      </c>
      <c r="B2" s="20" t="s">
        <v>156</v>
      </c>
      <c r="C2" s="20" t="s">
        <v>39</v>
      </c>
      <c r="D2" s="20" t="s">
        <v>157</v>
      </c>
      <c r="E2" s="20" t="s">
        <v>158</v>
      </c>
      <c r="F2" s="20"/>
      <c r="G2" s="20" t="s">
        <v>40</v>
      </c>
      <c r="H2" s="20">
        <v>2</v>
      </c>
      <c r="I2" s="20">
        <v>3</v>
      </c>
      <c r="J2" s="20">
        <v>-1</v>
      </c>
      <c r="K2" s="20"/>
    </row>
    <row r="3" spans="1:11" ht="14.25" customHeight="1">
      <c r="A3" s="20" t="s">
        <v>263</v>
      </c>
      <c r="B3" s="20" t="s">
        <v>156</v>
      </c>
      <c r="C3" s="20" t="s">
        <v>43</v>
      </c>
      <c r="D3" s="20" t="s">
        <v>159</v>
      </c>
      <c r="E3" s="20" t="s">
        <v>158</v>
      </c>
      <c r="F3" s="20"/>
      <c r="G3" s="20" t="s">
        <v>44</v>
      </c>
      <c r="H3" s="20">
        <v>2</v>
      </c>
      <c r="I3" s="20">
        <v>3</v>
      </c>
      <c r="J3" s="20">
        <v>-1</v>
      </c>
      <c r="K3" s="20"/>
    </row>
    <row r="4" spans="1:11" ht="14.25" customHeight="1">
      <c r="A4" s="20" t="s">
        <v>264</v>
      </c>
      <c r="B4" s="20" t="s">
        <v>156</v>
      </c>
      <c r="C4" s="20" t="s">
        <v>47</v>
      </c>
      <c r="D4" s="20" t="s">
        <v>160</v>
      </c>
      <c r="E4" s="20" t="s">
        <v>158</v>
      </c>
      <c r="F4" s="20"/>
      <c r="G4" s="20" t="s">
        <v>48</v>
      </c>
      <c r="H4" s="20">
        <v>2</v>
      </c>
      <c r="I4" s="20">
        <v>3</v>
      </c>
      <c r="J4" s="20">
        <v>-1</v>
      </c>
      <c r="K4" s="20"/>
    </row>
    <row r="5" spans="1:11" ht="14.25" customHeight="1">
      <c r="A5" s="20" t="s">
        <v>266</v>
      </c>
      <c r="B5" s="20" t="s">
        <v>156</v>
      </c>
      <c r="C5" s="20" t="s">
        <v>161</v>
      </c>
      <c r="D5" s="20" t="s">
        <v>162</v>
      </c>
      <c r="E5" s="20" t="s">
        <v>158</v>
      </c>
      <c r="F5" s="20"/>
      <c r="G5" s="20" t="s">
        <v>163</v>
      </c>
      <c r="H5" s="20">
        <v>2</v>
      </c>
      <c r="I5" s="20">
        <v>3</v>
      </c>
      <c r="J5" s="20">
        <v>-1</v>
      </c>
      <c r="K5" s="20"/>
    </row>
    <row r="6" spans="1:11" ht="14.25" customHeight="1">
      <c r="A6" s="20" t="s">
        <v>268</v>
      </c>
      <c r="B6" s="20" t="s">
        <v>164</v>
      </c>
      <c r="C6" s="20" t="s">
        <v>165</v>
      </c>
      <c r="D6" s="20" t="s">
        <v>166</v>
      </c>
      <c r="E6" s="20" t="s">
        <v>167</v>
      </c>
      <c r="F6" s="20"/>
      <c r="G6" s="20" t="s">
        <v>168</v>
      </c>
      <c r="H6" s="20">
        <v>3</v>
      </c>
      <c r="I6" s="20">
        <v>5</v>
      </c>
      <c r="J6" s="20">
        <v>-2</v>
      </c>
      <c r="K6" s="20"/>
    </row>
    <row r="7" spans="1:11" ht="14.25" customHeight="1">
      <c r="A7" s="20" t="s">
        <v>269</v>
      </c>
      <c r="B7" s="20" t="s">
        <v>164</v>
      </c>
      <c r="C7" s="20" t="s">
        <v>169</v>
      </c>
      <c r="D7" s="20" t="s">
        <v>170</v>
      </c>
      <c r="E7" s="20" t="s">
        <v>167</v>
      </c>
      <c r="F7" s="20"/>
      <c r="G7" s="20" t="s">
        <v>171</v>
      </c>
      <c r="H7" s="20">
        <v>3</v>
      </c>
      <c r="I7" s="20">
        <v>5</v>
      </c>
      <c r="J7" s="20">
        <v>-2</v>
      </c>
      <c r="K7" s="20"/>
    </row>
    <row r="8" spans="1:11" ht="14.25" customHeight="1">
      <c r="A8" s="20" t="s">
        <v>270</v>
      </c>
      <c r="B8" s="20" t="s">
        <v>164</v>
      </c>
      <c r="C8" s="20" t="s">
        <v>172</v>
      </c>
      <c r="D8" s="20" t="s">
        <v>173</v>
      </c>
      <c r="E8" s="20" t="s">
        <v>167</v>
      </c>
      <c r="F8" s="20"/>
      <c r="G8" s="20" t="s">
        <v>174</v>
      </c>
      <c r="H8" s="20">
        <v>3</v>
      </c>
      <c r="I8" s="20">
        <v>5</v>
      </c>
      <c r="J8" s="20">
        <v>-2</v>
      </c>
      <c r="K8" s="20"/>
    </row>
    <row r="9" spans="1:11" ht="14.25" customHeight="1">
      <c r="A9" s="20" t="s">
        <v>271</v>
      </c>
      <c r="B9" s="20" t="s">
        <v>164</v>
      </c>
      <c r="C9" s="20" t="s">
        <v>175</v>
      </c>
      <c r="D9" s="20" t="s">
        <v>176</v>
      </c>
      <c r="E9" s="20" t="s">
        <v>167</v>
      </c>
      <c r="F9" s="20"/>
      <c r="G9" s="20" t="s">
        <v>177</v>
      </c>
      <c r="H9" s="20">
        <v>3</v>
      </c>
      <c r="I9" s="20">
        <v>5</v>
      </c>
      <c r="J9" s="20">
        <v>-2</v>
      </c>
      <c r="K9" s="20"/>
    </row>
    <row r="10" spans="1:11" ht="14.25" customHeight="1">
      <c r="A10" s="20" t="s">
        <v>272</v>
      </c>
      <c r="B10" s="20" t="s">
        <v>178</v>
      </c>
      <c r="C10" s="20" t="s">
        <v>179</v>
      </c>
      <c r="D10" s="20" t="s">
        <v>180</v>
      </c>
      <c r="E10" s="20" t="s">
        <v>181</v>
      </c>
      <c r="F10" s="20"/>
      <c r="G10" s="20" t="s">
        <v>182</v>
      </c>
      <c r="H10" s="20">
        <v>5</v>
      </c>
      <c r="I10" s="20">
        <v>7</v>
      </c>
      <c r="J10" s="20">
        <v>-3</v>
      </c>
      <c r="K10" s="20"/>
    </row>
    <row r="11" spans="1:11" ht="14.25" customHeight="1">
      <c r="A11" s="20" t="s">
        <v>273</v>
      </c>
      <c r="B11" s="20" t="s">
        <v>178</v>
      </c>
      <c r="C11" s="20" t="s">
        <v>183</v>
      </c>
      <c r="D11" s="20" t="s">
        <v>184</v>
      </c>
      <c r="E11" s="20" t="s">
        <v>181</v>
      </c>
      <c r="F11" s="20"/>
      <c r="G11" s="20" t="s">
        <v>185</v>
      </c>
      <c r="H11" s="20">
        <v>5</v>
      </c>
      <c r="I11" s="20">
        <v>7</v>
      </c>
      <c r="J11" s="20">
        <v>-3</v>
      </c>
      <c r="K11" s="20"/>
    </row>
    <row r="12" spans="1:11" ht="14.25" customHeight="1">
      <c r="A12" s="20" t="s">
        <v>274</v>
      </c>
      <c r="B12" s="20" t="s">
        <v>178</v>
      </c>
      <c r="C12" s="20" t="s">
        <v>186</v>
      </c>
      <c r="D12" s="20" t="s">
        <v>187</v>
      </c>
      <c r="E12" s="20" t="s">
        <v>181</v>
      </c>
      <c r="F12" s="20"/>
      <c r="G12" s="20" t="s">
        <v>188</v>
      </c>
      <c r="H12" s="20">
        <v>5</v>
      </c>
      <c r="I12" s="20">
        <v>7</v>
      </c>
      <c r="J12" s="20">
        <v>-3</v>
      </c>
      <c r="K12" s="20"/>
    </row>
    <row r="13" spans="1:11" ht="14.25" customHeight="1">
      <c r="A13" s="20" t="s">
        <v>275</v>
      </c>
      <c r="B13" s="20" t="s">
        <v>178</v>
      </c>
      <c r="C13" s="20" t="s">
        <v>189</v>
      </c>
      <c r="D13" s="20" t="s">
        <v>190</v>
      </c>
      <c r="E13" s="20" t="s">
        <v>181</v>
      </c>
      <c r="F13" s="20"/>
      <c r="G13" s="20" t="s">
        <v>191</v>
      </c>
      <c r="H13" s="20">
        <v>5</v>
      </c>
      <c r="I13" s="20">
        <v>8</v>
      </c>
      <c r="J13" s="20">
        <v>-3</v>
      </c>
      <c r="K13" s="20"/>
    </row>
    <row r="14" spans="1:11" ht="14.25" customHeight="1"/>
    <row r="15" spans="1:11" ht="14.25" customHeight="1"/>
    <row r="16" spans="1:11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18" type="noConversion"/>
  <pageMargins left="0.75" right="0.75" top="1" bottom="1" header="0" footer="0"/>
  <pageSetup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000"/>
  <sheetViews>
    <sheetView workbookViewId="0">
      <selection activeCell="F30" sqref="F30"/>
    </sheetView>
  </sheetViews>
  <sheetFormatPr defaultColWidth="14.44140625" defaultRowHeight="15" customHeight="1"/>
  <cols>
    <col min="1" max="1" width="10.44140625" customWidth="1"/>
    <col min="2" max="2" width="10.109375" customWidth="1"/>
    <col min="3" max="3" width="10.88671875" customWidth="1"/>
    <col min="4" max="4" width="9.88671875" customWidth="1"/>
    <col min="5" max="5" width="10.6640625" customWidth="1"/>
    <col min="6" max="6" width="12.33203125" customWidth="1"/>
    <col min="7" max="7" width="13.88671875" customWidth="1"/>
    <col min="8" max="8" width="14.109375" customWidth="1"/>
    <col min="9" max="9" width="15.109375" customWidth="1"/>
    <col min="10" max="10" width="13.88671875" customWidth="1"/>
    <col min="11" max="11" width="14.109375" customWidth="1"/>
    <col min="12" max="12" width="15.109375" customWidth="1"/>
    <col min="13" max="13" width="15.6640625" customWidth="1"/>
    <col min="14" max="26" width="8.6640625" customWidth="1"/>
  </cols>
  <sheetData>
    <row r="1" spans="1:14" ht="14.25" customHeight="1">
      <c r="A1" s="35" t="s">
        <v>16</v>
      </c>
      <c r="B1" s="35" t="s">
        <v>17</v>
      </c>
      <c r="C1" s="35" t="s">
        <v>18</v>
      </c>
      <c r="D1" s="35" t="s">
        <v>19</v>
      </c>
      <c r="E1" s="35" t="s">
        <v>20</v>
      </c>
      <c r="F1" s="35" t="s">
        <v>21</v>
      </c>
      <c r="G1" s="35" t="s">
        <v>22</v>
      </c>
      <c r="H1" s="35" t="s">
        <v>243</v>
      </c>
      <c r="I1" s="35" t="s">
        <v>23</v>
      </c>
      <c r="J1" s="35" t="s">
        <v>24</v>
      </c>
      <c r="K1" s="35" t="s">
        <v>25</v>
      </c>
      <c r="L1" s="35" t="s">
        <v>26</v>
      </c>
      <c r="M1" s="35" t="s">
        <v>27</v>
      </c>
      <c r="N1" s="37" t="s">
        <v>28</v>
      </c>
    </row>
    <row r="2" spans="1:14" ht="14.25" customHeight="1">
      <c r="A2" s="38">
        <v>46024</v>
      </c>
      <c r="B2" s="20">
        <v>1</v>
      </c>
      <c r="C2" s="20" t="s">
        <v>29</v>
      </c>
      <c r="D2" s="20" t="s">
        <v>30</v>
      </c>
      <c r="E2" s="20"/>
      <c r="F2" s="20" t="s">
        <v>31</v>
      </c>
      <c r="G2" s="20" t="s">
        <v>32</v>
      </c>
      <c r="H2" s="20"/>
      <c r="I2" s="20">
        <v>0</v>
      </c>
      <c r="J2" s="20">
        <v>0</v>
      </c>
      <c r="K2" s="20">
        <v>0</v>
      </c>
      <c r="L2" s="20">
        <v>0</v>
      </c>
      <c r="M2" s="20">
        <v>0</v>
      </c>
      <c r="N2">
        <v>0</v>
      </c>
    </row>
    <row r="3" spans="1:14" ht="14.25" customHeight="1">
      <c r="A3" s="38">
        <v>46024</v>
      </c>
      <c r="B3" s="20">
        <v>1</v>
      </c>
      <c r="C3" s="20" t="s">
        <v>29</v>
      </c>
      <c r="D3" s="20" t="s">
        <v>33</v>
      </c>
      <c r="E3" s="20" t="s">
        <v>6</v>
      </c>
      <c r="F3" s="20" t="s">
        <v>34</v>
      </c>
      <c r="G3" s="20" t="s">
        <v>35</v>
      </c>
      <c r="H3" s="20"/>
      <c r="I3" s="20">
        <v>0</v>
      </c>
      <c r="J3" s="20">
        <v>0</v>
      </c>
      <c r="K3" s="20">
        <v>0</v>
      </c>
      <c r="L3" s="20">
        <v>0</v>
      </c>
      <c r="M3" s="20">
        <v>0</v>
      </c>
      <c r="N3">
        <v>0</v>
      </c>
    </row>
    <row r="4" spans="1:14" ht="14.25" customHeight="1">
      <c r="A4" s="38">
        <v>46024</v>
      </c>
      <c r="B4" s="20">
        <v>1</v>
      </c>
      <c r="C4" s="20" t="s">
        <v>36</v>
      </c>
      <c r="D4" s="20" t="s">
        <v>37</v>
      </c>
      <c r="E4" s="20" t="s">
        <v>38</v>
      </c>
      <c r="F4" s="20" t="s">
        <v>39</v>
      </c>
      <c r="G4" s="20" t="s">
        <v>40</v>
      </c>
      <c r="H4" s="20"/>
      <c r="I4" s="20">
        <v>0</v>
      </c>
      <c r="J4" s="20">
        <v>0</v>
      </c>
      <c r="K4" s="20">
        <v>0</v>
      </c>
      <c r="L4" s="20">
        <v>0</v>
      </c>
      <c r="M4" s="20">
        <v>0</v>
      </c>
      <c r="N4">
        <v>0</v>
      </c>
    </row>
    <row r="5" spans="1:14" ht="14.25" customHeight="1">
      <c r="A5" s="38">
        <v>46024</v>
      </c>
      <c r="B5" s="20">
        <v>1</v>
      </c>
      <c r="C5" s="20" t="s">
        <v>41</v>
      </c>
      <c r="D5" s="20" t="s">
        <v>37</v>
      </c>
      <c r="E5" s="20" t="s">
        <v>42</v>
      </c>
      <c r="F5" s="20" t="s">
        <v>43</v>
      </c>
      <c r="G5" s="20" t="s">
        <v>44</v>
      </c>
      <c r="H5" s="20"/>
      <c r="I5" s="20">
        <v>0</v>
      </c>
      <c r="J5" s="20">
        <v>0</v>
      </c>
      <c r="K5" s="20">
        <v>0</v>
      </c>
      <c r="L5" s="20">
        <v>0</v>
      </c>
      <c r="M5" s="20">
        <v>0</v>
      </c>
      <c r="N5">
        <v>0</v>
      </c>
    </row>
    <row r="6" spans="1:14" ht="14.25" customHeight="1">
      <c r="A6" s="38">
        <v>46024</v>
      </c>
      <c r="B6" s="20">
        <v>1</v>
      </c>
      <c r="C6" s="20" t="s">
        <v>45</v>
      </c>
      <c r="D6" s="20" t="s">
        <v>37</v>
      </c>
      <c r="E6" s="20" t="s">
        <v>46</v>
      </c>
      <c r="F6" s="20" t="s">
        <v>47</v>
      </c>
      <c r="G6" s="20" t="s">
        <v>48</v>
      </c>
      <c r="H6" s="20"/>
      <c r="I6" s="20">
        <v>0</v>
      </c>
      <c r="J6" s="20">
        <v>0</v>
      </c>
      <c r="K6" s="20">
        <v>0</v>
      </c>
      <c r="L6" s="20">
        <v>0</v>
      </c>
      <c r="M6" s="20">
        <v>0</v>
      </c>
      <c r="N6">
        <v>0</v>
      </c>
    </row>
    <row r="7" spans="1:14" ht="14.25" customHeight="1">
      <c r="A7" s="38">
        <v>46026</v>
      </c>
      <c r="B7" s="20">
        <v>1</v>
      </c>
      <c r="C7" s="20" t="s">
        <v>36</v>
      </c>
      <c r="D7" s="20" t="s">
        <v>49</v>
      </c>
      <c r="E7" s="20" t="s">
        <v>38</v>
      </c>
      <c r="F7" s="20" t="s">
        <v>39</v>
      </c>
      <c r="G7" s="20" t="s">
        <v>40</v>
      </c>
      <c r="H7" s="20" t="s">
        <v>246</v>
      </c>
      <c r="I7" s="20">
        <v>0</v>
      </c>
      <c r="J7" s="20">
        <v>0</v>
      </c>
      <c r="K7" s="20">
        <v>3</v>
      </c>
      <c r="L7" s="20">
        <v>13</v>
      </c>
      <c r="M7" s="20">
        <v>6</v>
      </c>
      <c r="N7">
        <v>3</v>
      </c>
    </row>
    <row r="8" spans="1:14" ht="14.25" customHeight="1">
      <c r="A8" s="38">
        <v>46026</v>
      </c>
      <c r="B8" s="20">
        <v>1</v>
      </c>
      <c r="C8" s="20" t="s">
        <v>36</v>
      </c>
      <c r="D8" s="20" t="s">
        <v>50</v>
      </c>
      <c r="E8" s="20" t="s">
        <v>51</v>
      </c>
      <c r="F8" s="20" t="s">
        <v>52</v>
      </c>
      <c r="G8" s="20" t="s">
        <v>53</v>
      </c>
      <c r="H8" s="20" t="s">
        <v>41</v>
      </c>
      <c r="I8" s="20">
        <v>0</v>
      </c>
      <c r="J8" s="20">
        <v>-1</v>
      </c>
      <c r="K8" s="20">
        <v>0</v>
      </c>
      <c r="L8" s="20">
        <v>13</v>
      </c>
      <c r="M8" s="20">
        <v>5</v>
      </c>
      <c r="N8">
        <v>0</v>
      </c>
    </row>
    <row r="9" spans="1:14" ht="14.25" customHeight="1">
      <c r="A9" s="38">
        <v>46026</v>
      </c>
      <c r="B9" s="20">
        <v>1</v>
      </c>
      <c r="C9" s="20" t="s">
        <v>41</v>
      </c>
      <c r="D9" s="20" t="s">
        <v>49</v>
      </c>
      <c r="E9" s="20" t="s">
        <v>42</v>
      </c>
      <c r="F9" s="20" t="s">
        <v>43</v>
      </c>
      <c r="G9" s="20" t="s">
        <v>44</v>
      </c>
      <c r="H9" s="20" t="s">
        <v>246</v>
      </c>
      <c r="I9" s="20">
        <v>0</v>
      </c>
      <c r="J9" s="20">
        <v>0</v>
      </c>
      <c r="K9" s="20">
        <v>3</v>
      </c>
      <c r="L9" s="20">
        <v>10</v>
      </c>
      <c r="M9" s="20">
        <v>9</v>
      </c>
      <c r="N9">
        <v>3</v>
      </c>
    </row>
    <row r="10" spans="1:14" ht="14.25" customHeight="1">
      <c r="A10" s="38">
        <v>46026</v>
      </c>
      <c r="B10" s="20">
        <v>1</v>
      </c>
      <c r="C10" s="20" t="s">
        <v>41</v>
      </c>
      <c r="D10" s="20" t="s">
        <v>244</v>
      </c>
      <c r="E10" s="20" t="s">
        <v>6</v>
      </c>
      <c r="F10" s="20" t="s">
        <v>34</v>
      </c>
      <c r="G10" s="20" t="s">
        <v>35</v>
      </c>
      <c r="H10" s="20" t="s">
        <v>247</v>
      </c>
      <c r="I10" s="20">
        <v>0</v>
      </c>
      <c r="J10" s="20">
        <v>0</v>
      </c>
      <c r="K10" s="20">
        <v>2</v>
      </c>
      <c r="L10" s="20">
        <v>0</v>
      </c>
      <c r="M10" s="20">
        <v>0</v>
      </c>
      <c r="N10">
        <v>0</v>
      </c>
    </row>
    <row r="11" spans="1:14" ht="14.25" customHeight="1">
      <c r="A11" s="38">
        <v>46026</v>
      </c>
      <c r="B11" s="20">
        <v>1</v>
      </c>
      <c r="C11" s="20" t="s">
        <v>45</v>
      </c>
      <c r="D11" s="20" t="s">
        <v>49</v>
      </c>
      <c r="E11" s="20" t="s">
        <v>46</v>
      </c>
      <c r="F11" s="20" t="s">
        <v>47</v>
      </c>
      <c r="G11" s="20" t="s">
        <v>48</v>
      </c>
      <c r="H11" s="20" t="s">
        <v>246</v>
      </c>
      <c r="I11" s="20">
        <v>0</v>
      </c>
      <c r="J11" s="20">
        <v>0</v>
      </c>
      <c r="K11" s="20">
        <v>3</v>
      </c>
      <c r="L11" s="20">
        <v>12</v>
      </c>
      <c r="M11" s="20">
        <v>7</v>
      </c>
      <c r="N11">
        <v>3</v>
      </c>
    </row>
    <row r="12" spans="1:14" ht="14.25" customHeight="1">
      <c r="A12" s="38">
        <v>46027</v>
      </c>
      <c r="B12" s="20">
        <v>2</v>
      </c>
      <c r="C12" s="20" t="s">
        <v>29</v>
      </c>
      <c r="D12" s="20" t="s">
        <v>30</v>
      </c>
      <c r="E12" s="20"/>
      <c r="F12" s="20" t="s">
        <v>31</v>
      </c>
      <c r="G12" s="20" t="s">
        <v>287</v>
      </c>
      <c r="H12" s="20"/>
      <c r="I12" s="20"/>
      <c r="J12" s="20"/>
      <c r="K12" s="20"/>
      <c r="L12" s="20"/>
      <c r="M12" s="20"/>
    </row>
    <row r="13" spans="1:14" ht="14.25" customHeight="1">
      <c r="A13" s="38">
        <v>46027</v>
      </c>
      <c r="B13" s="20">
        <v>2</v>
      </c>
      <c r="C13" s="20" t="s">
        <v>29</v>
      </c>
      <c r="D13" s="20" t="s">
        <v>33</v>
      </c>
      <c r="E13" s="20" t="s">
        <v>288</v>
      </c>
      <c r="F13" s="20" t="s">
        <v>289</v>
      </c>
      <c r="G13" s="20" t="s">
        <v>290</v>
      </c>
      <c r="H13" s="20"/>
      <c r="I13" s="20"/>
      <c r="J13" s="20"/>
      <c r="K13" s="20"/>
      <c r="L13" s="20"/>
      <c r="M13" s="20"/>
    </row>
    <row r="14" spans="1:14" ht="14.25" customHeight="1">
      <c r="A14" s="38">
        <v>46027</v>
      </c>
      <c r="B14" s="20">
        <v>2</v>
      </c>
      <c r="C14" s="20" t="s">
        <v>36</v>
      </c>
      <c r="D14" s="20" t="s">
        <v>37</v>
      </c>
      <c r="E14" s="20" t="s">
        <v>265</v>
      </c>
      <c r="F14" s="20" t="s">
        <v>161</v>
      </c>
      <c r="G14" s="20" t="s">
        <v>163</v>
      </c>
      <c r="H14" s="20"/>
      <c r="I14" s="20">
        <v>0</v>
      </c>
      <c r="J14" s="20">
        <v>0</v>
      </c>
      <c r="K14" s="20">
        <v>0</v>
      </c>
      <c r="L14" s="20">
        <v>13</v>
      </c>
      <c r="M14" s="20">
        <v>5</v>
      </c>
      <c r="N14">
        <v>5</v>
      </c>
    </row>
    <row r="15" spans="1:14" ht="14.25" customHeight="1">
      <c r="A15" s="38">
        <v>46027</v>
      </c>
      <c r="B15" s="20">
        <v>2</v>
      </c>
      <c r="C15" s="20" t="s">
        <v>41</v>
      </c>
      <c r="D15" s="20" t="s">
        <v>37</v>
      </c>
      <c r="E15" s="20" t="s">
        <v>267</v>
      </c>
      <c r="F15" s="20" t="s">
        <v>165</v>
      </c>
      <c r="G15" s="20" t="s">
        <v>291</v>
      </c>
      <c r="H15" s="20"/>
      <c r="I15" s="20"/>
      <c r="J15" s="20"/>
      <c r="K15" s="20"/>
      <c r="L15" s="20"/>
      <c r="M15" s="20"/>
    </row>
    <row r="16" spans="1:14" ht="14.25" customHeight="1">
      <c r="A16" s="38">
        <v>46027</v>
      </c>
      <c r="B16" s="20">
        <v>2</v>
      </c>
      <c r="C16" s="20" t="s">
        <v>45</v>
      </c>
      <c r="D16" s="20" t="s">
        <v>37</v>
      </c>
      <c r="E16" s="20" t="s">
        <v>262</v>
      </c>
      <c r="F16" s="20" t="s">
        <v>43</v>
      </c>
      <c r="G16" s="20" t="s">
        <v>44</v>
      </c>
      <c r="H16" s="20"/>
      <c r="I16" s="20"/>
      <c r="J16" s="20"/>
      <c r="K16" s="20"/>
      <c r="L16" s="20"/>
      <c r="M16" s="20"/>
    </row>
    <row r="17" spans="1:14" ht="14.25" customHeight="1">
      <c r="A17" s="38">
        <v>46027</v>
      </c>
      <c r="B17" s="20">
        <v>2</v>
      </c>
      <c r="C17" s="20" t="s">
        <v>36</v>
      </c>
      <c r="D17" s="20" t="s">
        <v>49</v>
      </c>
      <c r="E17" s="20" t="s">
        <v>265</v>
      </c>
      <c r="F17" s="20" t="s">
        <v>161</v>
      </c>
      <c r="G17" s="20" t="s">
        <v>163</v>
      </c>
      <c r="H17" s="20"/>
      <c r="I17" s="20">
        <v>0</v>
      </c>
      <c r="J17" s="20">
        <v>0</v>
      </c>
      <c r="K17" s="20">
        <v>3</v>
      </c>
      <c r="L17" s="20"/>
      <c r="M17" s="20"/>
      <c r="N17">
        <v>8</v>
      </c>
    </row>
    <row r="18" spans="1:14" ht="14.25" customHeight="1">
      <c r="A18" s="38">
        <v>46027</v>
      </c>
      <c r="B18" s="20">
        <v>2</v>
      </c>
      <c r="C18" s="20" t="s">
        <v>36</v>
      </c>
      <c r="D18" s="20" t="s">
        <v>244</v>
      </c>
      <c r="E18" s="20" t="s">
        <v>288</v>
      </c>
      <c r="F18" s="20" t="s">
        <v>289</v>
      </c>
      <c r="G18" s="20" t="s">
        <v>290</v>
      </c>
      <c r="H18" s="20"/>
      <c r="I18" s="20">
        <v>0</v>
      </c>
      <c r="J18" s="20">
        <v>1</v>
      </c>
      <c r="K18" s="20">
        <v>0</v>
      </c>
      <c r="L18" s="20">
        <v>6</v>
      </c>
      <c r="M18" s="20"/>
    </row>
    <row r="19" spans="1:14" ht="14.25" customHeight="1">
      <c r="A19" s="38">
        <v>46029</v>
      </c>
      <c r="B19" s="20">
        <v>2</v>
      </c>
      <c r="C19" s="20" t="s">
        <v>41</v>
      </c>
      <c r="D19" s="20" t="s">
        <v>50</v>
      </c>
      <c r="E19" s="20" t="s">
        <v>89</v>
      </c>
      <c r="F19" s="20" t="s">
        <v>204</v>
      </c>
      <c r="G19" s="20" t="s">
        <v>205</v>
      </c>
      <c r="H19" s="20"/>
      <c r="I19" s="20"/>
      <c r="J19" s="20"/>
      <c r="K19" s="20"/>
      <c r="L19" s="20"/>
      <c r="M19" s="20"/>
    </row>
    <row r="20" spans="1:14" ht="14.25" customHeight="1">
      <c r="A20" s="43">
        <v>46029</v>
      </c>
      <c r="B20">
        <v>2</v>
      </c>
      <c r="C20" t="s">
        <v>45</v>
      </c>
      <c r="D20" t="s">
        <v>50</v>
      </c>
      <c r="E20" t="s">
        <v>89</v>
      </c>
      <c r="F20" t="s">
        <v>204</v>
      </c>
      <c r="G20" t="s">
        <v>205</v>
      </c>
    </row>
    <row r="21" spans="1:14" ht="14.25" customHeight="1">
      <c r="A21" s="43">
        <v>46029</v>
      </c>
      <c r="B21">
        <v>2</v>
      </c>
      <c r="C21" t="s">
        <v>41</v>
      </c>
      <c r="D21" t="s">
        <v>49</v>
      </c>
      <c r="E21" t="s">
        <v>267</v>
      </c>
      <c r="F21" t="s">
        <v>165</v>
      </c>
      <c r="G21" t="s">
        <v>291</v>
      </c>
      <c r="I21">
        <v>0</v>
      </c>
      <c r="J21">
        <v>0</v>
      </c>
      <c r="K21">
        <v>10</v>
      </c>
      <c r="N21">
        <v>15</v>
      </c>
    </row>
    <row r="22" spans="1:14" ht="14.25" customHeight="1">
      <c r="A22" s="43">
        <v>46029</v>
      </c>
      <c r="B22">
        <v>2</v>
      </c>
      <c r="C22" t="s">
        <v>45</v>
      </c>
      <c r="D22" t="s">
        <v>49</v>
      </c>
      <c r="E22" t="s">
        <v>262</v>
      </c>
      <c r="F22" t="s">
        <v>43</v>
      </c>
      <c r="G22" t="s">
        <v>44</v>
      </c>
      <c r="I22">
        <v>0</v>
      </c>
      <c r="J22">
        <v>0</v>
      </c>
      <c r="K22">
        <v>6</v>
      </c>
      <c r="N22">
        <v>11</v>
      </c>
    </row>
    <row r="23" spans="1:14" ht="14.25" customHeight="1">
      <c r="A23" s="43">
        <v>46029</v>
      </c>
      <c r="B23">
        <v>2</v>
      </c>
      <c r="C23" t="s">
        <v>41</v>
      </c>
      <c r="D23" t="s">
        <v>234</v>
      </c>
      <c r="F23" t="s">
        <v>282</v>
      </c>
      <c r="G23" t="s">
        <v>283</v>
      </c>
    </row>
    <row r="24" spans="1:14" ht="14.25" customHeight="1">
      <c r="A24" s="43"/>
    </row>
    <row r="25" spans="1:14" ht="14.25" customHeight="1">
      <c r="A25" s="43"/>
    </row>
    <row r="26" spans="1:14" ht="14.25" customHeight="1">
      <c r="A26" s="43"/>
    </row>
    <row r="27" spans="1:14" ht="14.25" customHeight="1">
      <c r="A27" s="43"/>
    </row>
    <row r="28" spans="1:14" ht="14.25" customHeight="1">
      <c r="A28" s="43"/>
    </row>
    <row r="29" spans="1:14" ht="14.25" customHeight="1">
      <c r="A29" s="43"/>
    </row>
    <row r="30" spans="1:14" ht="14.25" customHeight="1"/>
    <row r="31" spans="1:14" ht="14.25" customHeight="1"/>
    <row r="32" spans="1:14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18" type="noConversion"/>
  <dataValidations count="1">
    <dataValidation type="list" allowBlank="1" showErrorMessage="1" sqref="D2" xr:uid="{5A647E0A-8F01-4A16-A57B-7BD3CBADBDA9}">
      <formula1>事件紀錄類型</formula1>
    </dataValidation>
  </dataValidations>
  <pageMargins left="0.75" right="0.75" top="1" bottom="1" header="0" footer="0"/>
  <pageSetup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00"/>
  <sheetViews>
    <sheetView workbookViewId="0">
      <selection activeCell="F31" sqref="F31"/>
    </sheetView>
  </sheetViews>
  <sheetFormatPr defaultColWidth="14.44140625" defaultRowHeight="15" customHeight="1"/>
  <cols>
    <col min="1" max="1" width="8.6640625" customWidth="1"/>
    <col min="2" max="2" width="21.5546875" customWidth="1"/>
    <col min="3" max="3" width="23.33203125" customWidth="1"/>
    <col min="4" max="4" width="24.88671875" customWidth="1"/>
    <col min="5" max="26" width="8.6640625" customWidth="1"/>
  </cols>
  <sheetData>
    <row r="1" spans="1:4" ht="14.25" customHeight="1">
      <c r="A1" s="23" t="s">
        <v>55</v>
      </c>
      <c r="B1" s="23" t="s">
        <v>192</v>
      </c>
      <c r="C1" s="23" t="s">
        <v>193</v>
      </c>
      <c r="D1" s="23" t="s">
        <v>194</v>
      </c>
    </row>
    <row r="2" spans="1:4" ht="14.25" customHeight="1">
      <c r="A2" s="20">
        <v>1</v>
      </c>
      <c r="B2" s="20">
        <v>0</v>
      </c>
      <c r="C2" s="20">
        <v>0</v>
      </c>
      <c r="D2" s="20">
        <v>0</v>
      </c>
    </row>
    <row r="3" spans="1:4" ht="14.25" customHeight="1">
      <c r="A3" s="20">
        <v>2</v>
      </c>
      <c r="B3" s="20">
        <v>1</v>
      </c>
      <c r="C3" s="20">
        <v>1</v>
      </c>
      <c r="D3" s="20">
        <f t="shared" ref="D3:D11" si="0">10*A2*1.5</f>
        <v>15</v>
      </c>
    </row>
    <row r="4" spans="1:4" ht="14.25" customHeight="1">
      <c r="A4" s="20">
        <v>3</v>
      </c>
      <c r="B4" s="20">
        <v>2</v>
      </c>
      <c r="C4" s="20">
        <v>2</v>
      </c>
      <c r="D4" s="20">
        <f t="shared" si="0"/>
        <v>30</v>
      </c>
    </row>
    <row r="5" spans="1:4" ht="14.25" customHeight="1">
      <c r="A5" s="20">
        <v>4</v>
      </c>
      <c r="B5" s="20">
        <v>3</v>
      </c>
      <c r="C5" s="20">
        <v>3</v>
      </c>
      <c r="D5" s="20">
        <f t="shared" si="0"/>
        <v>45</v>
      </c>
    </row>
    <row r="6" spans="1:4" ht="14.25" customHeight="1">
      <c r="A6" s="20">
        <v>5</v>
      </c>
      <c r="B6" s="20">
        <v>4</v>
      </c>
      <c r="C6" s="20">
        <v>4</v>
      </c>
      <c r="D6" s="20">
        <f t="shared" si="0"/>
        <v>60</v>
      </c>
    </row>
    <row r="7" spans="1:4" ht="14.25" customHeight="1">
      <c r="A7" s="20">
        <v>6</v>
      </c>
      <c r="B7" s="20">
        <v>5</v>
      </c>
      <c r="C7" s="20">
        <v>5</v>
      </c>
      <c r="D7" s="20">
        <f t="shared" si="0"/>
        <v>75</v>
      </c>
    </row>
    <row r="8" spans="1:4" ht="14.25" customHeight="1">
      <c r="A8" s="20">
        <v>7</v>
      </c>
      <c r="B8" s="20">
        <v>6</v>
      </c>
      <c r="C8" s="20">
        <v>6</v>
      </c>
      <c r="D8" s="20">
        <f t="shared" si="0"/>
        <v>90</v>
      </c>
    </row>
    <row r="9" spans="1:4" ht="14.25" customHeight="1">
      <c r="A9" s="20">
        <v>8</v>
      </c>
      <c r="B9" s="20">
        <v>7</v>
      </c>
      <c r="C9" s="20">
        <v>7</v>
      </c>
      <c r="D9" s="20">
        <f t="shared" si="0"/>
        <v>105</v>
      </c>
    </row>
    <row r="10" spans="1:4" ht="14.25" customHeight="1">
      <c r="A10" s="20">
        <v>9</v>
      </c>
      <c r="B10" s="20">
        <v>8</v>
      </c>
      <c r="C10" s="20">
        <v>8</v>
      </c>
      <c r="D10" s="20">
        <f t="shared" si="0"/>
        <v>120</v>
      </c>
    </row>
    <row r="11" spans="1:4" ht="14.25" customHeight="1">
      <c r="A11" s="20">
        <v>10</v>
      </c>
      <c r="B11" s="20">
        <v>9</v>
      </c>
      <c r="C11" s="20">
        <v>9</v>
      </c>
      <c r="D11" s="20">
        <f t="shared" si="0"/>
        <v>135</v>
      </c>
    </row>
    <row r="12" spans="1:4" ht="14.25" customHeight="1">
      <c r="A12" s="20">
        <v>11</v>
      </c>
      <c r="B12" s="20">
        <v>10</v>
      </c>
      <c r="C12" s="20">
        <v>10</v>
      </c>
      <c r="D12" s="20">
        <f t="shared" ref="D12:D16" si="1">10*A11*1.5</f>
        <v>150</v>
      </c>
    </row>
    <row r="13" spans="1:4" ht="14.25" customHeight="1">
      <c r="A13" s="20">
        <v>12</v>
      </c>
      <c r="B13" s="20">
        <v>11</v>
      </c>
      <c r="C13" s="20">
        <v>11</v>
      </c>
      <c r="D13" s="20">
        <f t="shared" si="1"/>
        <v>165</v>
      </c>
    </row>
    <row r="14" spans="1:4" ht="14.25" customHeight="1">
      <c r="A14" s="20">
        <v>13</v>
      </c>
      <c r="B14" s="20">
        <v>12</v>
      </c>
      <c r="C14" s="20">
        <v>12</v>
      </c>
      <c r="D14" s="20">
        <f t="shared" si="1"/>
        <v>180</v>
      </c>
    </row>
    <row r="15" spans="1:4" ht="14.25" customHeight="1">
      <c r="A15" s="20">
        <v>14</v>
      </c>
      <c r="B15" s="20">
        <v>13</v>
      </c>
      <c r="C15" s="20">
        <v>13</v>
      </c>
      <c r="D15" s="20">
        <f t="shared" si="1"/>
        <v>195</v>
      </c>
    </row>
    <row r="16" spans="1:4" ht="14.25" customHeight="1">
      <c r="A16" s="20">
        <v>15</v>
      </c>
      <c r="B16" s="20">
        <v>14</v>
      </c>
      <c r="C16" s="20">
        <v>14</v>
      </c>
      <c r="D16" s="20">
        <f t="shared" si="1"/>
        <v>210</v>
      </c>
    </row>
    <row r="17" spans="1:4" ht="14.25" customHeight="1">
      <c r="A17" s="20"/>
      <c r="B17" s="20"/>
      <c r="C17" s="20"/>
      <c r="D17" s="20"/>
    </row>
    <row r="18" spans="1:4" ht="14.25" customHeight="1"/>
    <row r="19" spans="1:4" ht="14.25" customHeight="1"/>
    <row r="20" spans="1:4" ht="14.25" customHeight="1"/>
    <row r="21" spans="1:4" ht="14.25" customHeight="1"/>
    <row r="22" spans="1:4" ht="14.25" customHeight="1"/>
    <row r="23" spans="1:4" ht="14.25" customHeight="1"/>
    <row r="24" spans="1:4" ht="14.25" customHeight="1"/>
    <row r="25" spans="1:4" ht="14.25" customHeight="1"/>
    <row r="26" spans="1:4" ht="14.25" customHeight="1"/>
    <row r="27" spans="1:4" ht="14.25" customHeight="1"/>
    <row r="28" spans="1:4" ht="14.25" customHeight="1"/>
    <row r="29" spans="1:4" ht="14.25" customHeight="1"/>
    <row r="30" spans="1:4" ht="14.25" customHeight="1"/>
    <row r="31" spans="1:4" ht="14.25" customHeight="1"/>
    <row r="32" spans="1:4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18" type="noConversion"/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9"/>
  <sheetViews>
    <sheetView tabSelected="1" workbookViewId="0">
      <selection activeCell="I23" sqref="I23"/>
    </sheetView>
  </sheetViews>
  <sheetFormatPr defaultColWidth="14.44140625" defaultRowHeight="15" customHeight="1"/>
  <cols>
    <col min="1" max="1" width="12.33203125" customWidth="1"/>
    <col min="2" max="2" width="11" customWidth="1"/>
    <col min="3" max="3" width="12.33203125" customWidth="1"/>
    <col min="4" max="4" width="8.88671875" customWidth="1"/>
    <col min="5" max="5" width="10.5546875" customWidth="1"/>
    <col min="6" max="6" width="10.109375" customWidth="1"/>
    <col min="7" max="8" width="15" customWidth="1"/>
    <col min="9" max="9" width="97.88671875" customWidth="1"/>
    <col min="10" max="26" width="8.6640625" customWidth="1"/>
  </cols>
  <sheetData>
    <row r="1" spans="1:26" ht="14.25" customHeight="1">
      <c r="A1" s="16" t="s">
        <v>195</v>
      </c>
      <c r="B1" s="24" t="s">
        <v>54</v>
      </c>
      <c r="C1" s="24" t="s">
        <v>78</v>
      </c>
      <c r="D1" s="24" t="s">
        <v>196</v>
      </c>
      <c r="E1" s="24" t="s">
        <v>197</v>
      </c>
      <c r="F1" s="24" t="s">
        <v>198</v>
      </c>
      <c r="G1" s="24" t="s">
        <v>199</v>
      </c>
      <c r="H1" s="24" t="s">
        <v>85</v>
      </c>
      <c r="I1" s="24" t="s">
        <v>200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17" t="s">
        <v>90</v>
      </c>
      <c r="B2" s="17" t="str">
        <f>IF(職業技能表!$A2="","",VLOOKUP(LEFT(職業技能表!$A2,2),清單表!$B$2:$C$7,2,))</f>
        <v>弓箭手</v>
      </c>
      <c r="C2" s="1" t="s">
        <v>210</v>
      </c>
      <c r="D2" s="17" t="str">
        <f>IF(職業技能表!$A2="","",IF(MID(職業技能表!$A2,3,1)="A", "主動","被動"))</f>
        <v>主動</v>
      </c>
      <c r="E2" s="1">
        <v>-1</v>
      </c>
      <c r="F2" s="1"/>
      <c r="G2" s="1">
        <v>1</v>
      </c>
      <c r="H2" s="1" t="s">
        <v>202</v>
      </c>
      <c r="I2" s="1" t="s">
        <v>211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>
      <c r="A3" s="17" t="s">
        <v>310</v>
      </c>
      <c r="B3" s="46" t="str">
        <f>IF(職業技能表!$A3="","",VLOOKUP(LEFT(職業技能表!$A3,2),清單表!$B$2:$C$7,2,))</f>
        <v>弓箭手</v>
      </c>
      <c r="C3" s="1" t="s">
        <v>312</v>
      </c>
      <c r="D3" s="46" t="str">
        <f>IF(職業技能表!$A3="","",IF(MID(職業技能表!$A3,3,1)="A", "主動","被動"))</f>
        <v>被動</v>
      </c>
      <c r="E3" s="1">
        <v>0</v>
      </c>
      <c r="F3" s="1">
        <v>1</v>
      </c>
      <c r="G3" s="1">
        <v>1</v>
      </c>
      <c r="H3" s="1" t="s">
        <v>202</v>
      </c>
      <c r="I3" s="1" t="s">
        <v>313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>
      <c r="A4" s="17" t="s">
        <v>311</v>
      </c>
      <c r="B4" s="46" t="str">
        <f>IF(職業技能表!$A4="","",VLOOKUP(LEFT(職業技能表!$A4,2),清單表!$B$2:$C$7,2,))</f>
        <v>弓箭手</v>
      </c>
      <c r="C4" s="1" t="s">
        <v>309</v>
      </c>
      <c r="D4" s="46" t="str">
        <f>IF(職業技能表!$A4="","",IF(MID(職業技能表!$A4,3,1)="A", "主動","被動"))</f>
        <v>被動</v>
      </c>
      <c r="E4" s="1">
        <v>0</v>
      </c>
      <c r="F4" s="1">
        <v>1</v>
      </c>
      <c r="G4" s="1">
        <v>99</v>
      </c>
      <c r="H4" s="1" t="s">
        <v>202</v>
      </c>
      <c r="I4" s="1" t="s">
        <v>314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>
      <c r="A5" s="17" t="s">
        <v>87</v>
      </c>
      <c r="B5" s="17" t="str">
        <f>IF(職業技能表!$A5="","",VLOOKUP(LEFT(職業技能表!$A5,2),清單表!$B$2:$C$7,2,))</f>
        <v>通用</v>
      </c>
      <c r="C5" s="1" t="s">
        <v>201</v>
      </c>
      <c r="D5" s="17" t="str">
        <f>IF(職業技能表!$A5="","",IF(MID(職業技能表!$A5,3,1)="A", "主動","被動"))</f>
        <v>主動</v>
      </c>
      <c r="E5" s="1">
        <v>-1</v>
      </c>
      <c r="F5" s="1">
        <v>1</v>
      </c>
      <c r="G5" s="1">
        <v>1</v>
      </c>
      <c r="H5" s="1" t="s">
        <v>202</v>
      </c>
      <c r="I5" s="25" t="s">
        <v>203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>
      <c r="A6" s="17" t="s">
        <v>89</v>
      </c>
      <c r="B6" s="17" t="str">
        <f>IF(職業技能表!$A6="","",VLOOKUP(LEFT(職業技能表!$A6,2),清單表!$B$2:$C$7,2,))</f>
        <v>通用</v>
      </c>
      <c r="C6" s="1" t="s">
        <v>204</v>
      </c>
      <c r="D6" s="17" t="str">
        <f>IF(職業技能表!$A6="","",IF(MID(職業技能表!$A6,3,1)="A", "主動","被動"))</f>
        <v>主動</v>
      </c>
      <c r="E6" s="1">
        <v>-1</v>
      </c>
      <c r="F6" s="1">
        <v>2</v>
      </c>
      <c r="G6" s="1">
        <v>1</v>
      </c>
      <c r="H6" s="1" t="s">
        <v>202</v>
      </c>
      <c r="I6" s="1" t="s">
        <v>205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>
      <c r="A7" s="17" t="s">
        <v>91</v>
      </c>
      <c r="B7" s="17" t="str">
        <f>IF(職業技能表!$A7="","",VLOOKUP(LEFT(職業技能表!$A7,2),清單表!$B$2:$C$7,2,))</f>
        <v>法師</v>
      </c>
      <c r="C7" s="1" t="s">
        <v>208</v>
      </c>
      <c r="D7" s="17" t="str">
        <f>IF(職業技能表!$A7="","",IF(MID(職業技能表!$A7,3,1)="A", "主動","被動"))</f>
        <v>主動</v>
      </c>
      <c r="E7" s="1">
        <v>-2</v>
      </c>
      <c r="F7" s="1"/>
      <c r="G7" s="1">
        <v>1</v>
      </c>
      <c r="H7" s="1" t="s">
        <v>202</v>
      </c>
      <c r="I7" s="1" t="s">
        <v>209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>
      <c r="A8" s="17" t="s">
        <v>284</v>
      </c>
      <c r="B8" s="17" t="str">
        <f>IF(職業技能表!$A8="","",VLOOKUP(LEFT(職業技能表!$A8,2),清單表!$B$2:$C$7,2,))</f>
        <v>法師</v>
      </c>
      <c r="C8" s="1" t="s">
        <v>213</v>
      </c>
      <c r="D8" s="17" t="str">
        <f>IF(職業技能表!$A8="","",IF(MID(職業技能表!$A8,3,1)="A", "主動","被動"))</f>
        <v>被動</v>
      </c>
      <c r="E8" s="1">
        <v>0</v>
      </c>
      <c r="F8" s="1">
        <v>1</v>
      </c>
      <c r="G8" s="1">
        <v>2</v>
      </c>
      <c r="H8" s="1" t="s">
        <v>202</v>
      </c>
      <c r="I8" s="1" t="s">
        <v>215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>
      <c r="A9" s="17" t="s">
        <v>212</v>
      </c>
      <c r="B9" s="46" t="str">
        <f>IF(職業技能表!$A9="","",VLOOKUP(LEFT(職業技能表!$A9,2),清單表!$B$2:$C$7,2,))</f>
        <v>法師</v>
      </c>
      <c r="C9" s="1" t="s">
        <v>296</v>
      </c>
      <c r="D9" s="46" t="str">
        <f>IF(職業技能表!$A9="","",IF(MID(職業技能表!$A9,3,1)="A", "主動","被動"))</f>
        <v>被動</v>
      </c>
      <c r="E9" s="1">
        <v>0</v>
      </c>
      <c r="F9" s="1">
        <v>-1</v>
      </c>
      <c r="G9" s="1">
        <v>1</v>
      </c>
      <c r="H9" s="1" t="s">
        <v>202</v>
      </c>
      <c r="I9" s="1" t="s">
        <v>298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>
      <c r="A10" s="17" t="s">
        <v>295</v>
      </c>
      <c r="B10" s="46" t="str">
        <f>IF(職業技能表!$A10="","",VLOOKUP(LEFT(職業技能表!$A10,2),清單表!$B$2:$C$7,2,))</f>
        <v>法師</v>
      </c>
      <c r="C10" s="1" t="s">
        <v>297</v>
      </c>
      <c r="D10" s="46" t="str">
        <f>IF(職業技能表!$A10="","",IF(MID(職業技能表!$A10,3,1)="A", "主動","被動"))</f>
        <v>被動</v>
      </c>
      <c r="E10" s="1">
        <v>0</v>
      </c>
      <c r="F10" s="1">
        <v>1</v>
      </c>
      <c r="G10" s="1">
        <v>1</v>
      </c>
      <c r="H10" s="1" t="s">
        <v>202</v>
      </c>
      <c r="I10" s="1" t="s">
        <v>299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>
      <c r="A11" s="17" t="s">
        <v>206</v>
      </c>
      <c r="B11" s="17" t="str">
        <f>IF(職業技能表!$A11="","",VLOOKUP(LEFT(職業技能表!$A11,2),清單表!$B$2:$C$7,2,))</f>
        <v>牧師</v>
      </c>
      <c r="C11" s="1" t="s">
        <v>207</v>
      </c>
      <c r="D11" s="17" t="str">
        <f>IF(職業技能表!$A11="","",IF(MID(職業技能表!$A11,3,1)="A", "主動","被動"))</f>
        <v>主動</v>
      </c>
      <c r="E11" s="1">
        <v>-1</v>
      </c>
      <c r="F11" s="1">
        <v>1</v>
      </c>
      <c r="G11" s="1">
        <v>1</v>
      </c>
      <c r="H11" s="1" t="s">
        <v>202</v>
      </c>
      <c r="I11" s="25" t="s">
        <v>203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>
      <c r="A12" s="17" t="s">
        <v>315</v>
      </c>
      <c r="B12" s="46" t="str">
        <f>IF(職業技能表!$A12="","",VLOOKUP(LEFT(職業技能表!$A12,2),清單表!$B$2:$C$7,2,))</f>
        <v>牧師</v>
      </c>
      <c r="C12" s="1" t="s">
        <v>316</v>
      </c>
      <c r="D12" s="46" t="str">
        <f>IF(職業技能表!$A12="","",IF(MID(職業技能表!$A12,3,1)="A", "主動","被動"))</f>
        <v>被動</v>
      </c>
      <c r="E12" s="1">
        <v>0</v>
      </c>
      <c r="F12" s="1">
        <v>1</v>
      </c>
      <c r="G12" s="1">
        <v>99</v>
      </c>
      <c r="H12" s="1" t="s">
        <v>202</v>
      </c>
      <c r="I12" s="25" t="s">
        <v>317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>
      <c r="A13" s="17" t="s">
        <v>318</v>
      </c>
      <c r="B13" s="46" t="str">
        <f>IF(職業技能表!$A13="","",VLOOKUP(LEFT(職業技能表!$A13,2),清單表!$B$2:$C$7,2,))</f>
        <v>牧師</v>
      </c>
      <c r="C13" s="1" t="s">
        <v>319</v>
      </c>
      <c r="D13" s="46" t="str">
        <f>IF(職業技能表!$A13="","",IF(MID(職業技能表!$A13,3,1)="A", "主動","被動"))</f>
        <v>被動</v>
      </c>
      <c r="E13" s="1">
        <v>0</v>
      </c>
      <c r="F13" s="1">
        <v>1</v>
      </c>
      <c r="G13" s="1">
        <v>2</v>
      </c>
      <c r="H13" s="1" t="s">
        <v>202</v>
      </c>
      <c r="I13" s="25" t="s">
        <v>320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17" t="s">
        <v>216</v>
      </c>
      <c r="B14" s="17" t="str">
        <f>IF(職業技能表!$A14="","",VLOOKUP(LEFT(職業技能表!$A14,2),清單表!$B$2:$C$7,2,))</f>
        <v>劍士</v>
      </c>
      <c r="C14" s="1" t="s">
        <v>217</v>
      </c>
      <c r="D14" s="17" t="str">
        <f>IF(職業技能表!$A14="","",IF(MID(職業技能表!$A14,3,1)="A", "主動","被動"))</f>
        <v>被動</v>
      </c>
      <c r="E14" s="1">
        <v>0</v>
      </c>
      <c r="F14" s="1">
        <v>-1</v>
      </c>
      <c r="G14" s="1">
        <v>99</v>
      </c>
      <c r="H14" s="1" t="s">
        <v>202</v>
      </c>
      <c r="I14" s="1" t="s">
        <v>218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>
      <c r="A15" s="17" t="s">
        <v>300</v>
      </c>
      <c r="B15" s="46" t="str">
        <f>IF(職業技能表!$A15="","",VLOOKUP(LEFT(職業技能表!$A15,2),清單表!$B$2:$C$7,2,))</f>
        <v>劍士</v>
      </c>
      <c r="C15" s="1" t="s">
        <v>302</v>
      </c>
      <c r="D15" s="46" t="str">
        <f>IF(職業技能表!$A15="","",IF(MID(職業技能表!$A15,3,1)="A", "主動","被動"))</f>
        <v>被動</v>
      </c>
      <c r="E15" s="1">
        <v>0</v>
      </c>
      <c r="F15" s="1">
        <v>-1</v>
      </c>
      <c r="G15" s="1">
        <v>1</v>
      </c>
      <c r="H15" s="1" t="s">
        <v>202</v>
      </c>
      <c r="I15" s="1" t="s">
        <v>304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>
      <c r="A16" s="17" t="s">
        <v>301</v>
      </c>
      <c r="B16" s="46" t="str">
        <f>IF(職業技能表!$A16="","",VLOOKUP(LEFT(職業技能表!$A16,2),清單表!$B$2:$C$7,2,))</f>
        <v>劍士</v>
      </c>
      <c r="C16" s="1" t="s">
        <v>303</v>
      </c>
      <c r="D16" s="46" t="str">
        <f>IF(職業技能表!$A16="","",IF(MID(職業技能表!$A16,3,1)="A", "主動","被動"))</f>
        <v>被動</v>
      </c>
      <c r="E16" s="1">
        <v>0</v>
      </c>
      <c r="F16" s="1">
        <v>1</v>
      </c>
      <c r="G16" s="1">
        <v>99</v>
      </c>
      <c r="H16" s="1" t="s">
        <v>202</v>
      </c>
      <c r="I16" s="1" t="s">
        <v>305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>
      <c r="A17" s="17" t="s">
        <v>51</v>
      </c>
      <c r="B17" s="17" t="str">
        <f>IF(職業技能表!$A17="","",VLOOKUP(LEFT(職業技能表!$A17,2),清單表!$B$2:$C$7,2,))</f>
        <v>盜賊</v>
      </c>
      <c r="C17" s="1" t="s">
        <v>52</v>
      </c>
      <c r="D17" s="17" t="str">
        <f>IF(職業技能表!$A17="","",IF(MID(職業技能表!$A17,3,1)="A", "主動","被動"))</f>
        <v>主動</v>
      </c>
      <c r="E17" s="1">
        <v>-1</v>
      </c>
      <c r="F17" s="1">
        <v>1</v>
      </c>
      <c r="G17" s="1">
        <v>1</v>
      </c>
      <c r="H17" s="1" t="s">
        <v>202</v>
      </c>
      <c r="I17" s="25" t="s">
        <v>53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>
      <c r="A18" s="17" t="s">
        <v>219</v>
      </c>
      <c r="B18" s="17" t="str">
        <f>IF(職業技能表!$A18="","",VLOOKUP(LEFT(職業技能表!$A18,2),清單表!$B$2:$C$7,2,))</f>
        <v>盜賊</v>
      </c>
      <c r="C18" s="1" t="s">
        <v>220</v>
      </c>
      <c r="D18" s="17" t="str">
        <f>IF(職業技能表!$A18="","",IF(MID(職業技能表!$A18,3,1)="A", "主動","被動"))</f>
        <v>被動</v>
      </c>
      <c r="E18" s="1">
        <v>0</v>
      </c>
      <c r="F18" s="1">
        <v>1</v>
      </c>
      <c r="G18" s="1">
        <v>99</v>
      </c>
      <c r="H18" s="1" t="s">
        <v>202</v>
      </c>
      <c r="I18" s="1" t="s">
        <v>221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>
      <c r="A19" s="17" t="s">
        <v>306</v>
      </c>
      <c r="B19" s="46" t="str">
        <f>IF(職業技能表!$A19="","",VLOOKUP(LEFT(職業技能表!$A19,2),清單表!$B$2:$C$7,2,))</f>
        <v>盜賊</v>
      </c>
      <c r="C19" s="1" t="s">
        <v>307</v>
      </c>
      <c r="D19" s="46" t="str">
        <f>IF(職業技能表!$A19="","",IF(MID(職業技能表!$A19,3,1)="A", "主動","被動"))</f>
        <v>被動</v>
      </c>
      <c r="E19" s="1">
        <v>0</v>
      </c>
      <c r="F19" s="1">
        <v>1</v>
      </c>
      <c r="G19" s="1">
        <v>99</v>
      </c>
      <c r="H19" s="1" t="s">
        <v>202</v>
      </c>
      <c r="I19" s="1" t="s">
        <v>308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17" t="s">
        <v>292</v>
      </c>
      <c r="B20" s="46" t="str">
        <f>IF(職業技能表!$A20="","",VLOOKUP(LEFT(職業技能表!$A20,2),清單表!$B$2:$C$7,2,))</f>
        <v>盜賊</v>
      </c>
      <c r="C20" s="1" t="s">
        <v>293</v>
      </c>
      <c r="D20" s="17" t="str">
        <f>IF(職業技能表!$A20="","",IF(MID(職業技能表!$A20,3,1)="A", "主動","被動"))</f>
        <v>主動</v>
      </c>
      <c r="E20" s="1">
        <v>0</v>
      </c>
      <c r="F20" s="1">
        <v>-1</v>
      </c>
      <c r="G20" s="1">
        <v>1</v>
      </c>
      <c r="H20" s="1" t="s">
        <v>202</v>
      </c>
      <c r="I20" s="1" t="s">
        <v>294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17"/>
      <c r="B21" s="46" t="str">
        <f>IF(職業技能表!$A21="","",VLOOKUP(LEFT(職業技能表!$A21,2),清單表!$B$2:$C$7,2,))</f>
        <v/>
      </c>
      <c r="C21" s="1"/>
      <c r="D21" s="17" t="str">
        <f>IF(職業技能表!$A21="","",IF(MID(職業技能表!$A21,3,1)="A", "主動","被動"))</f>
        <v/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17"/>
      <c r="B22" s="46" t="str">
        <f>IF(職業技能表!$A22="","",VLOOKUP(LEFT(職業技能表!$A22,2),清單表!$B$2:$C$7,2,))</f>
        <v/>
      </c>
      <c r="C22" s="1"/>
      <c r="D22" s="17" t="str">
        <f>IF(職業技能表!$A22="","",IF(MID(職業技能表!$A22,3,1)="A", "主動","被動"))</f>
        <v/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17"/>
      <c r="B23" s="46" t="str">
        <f>IF(職業技能表!$A23="","",VLOOKUP(LEFT(職業技能表!$A23,2),清單表!$B$2:$C$7,2,))</f>
        <v/>
      </c>
      <c r="C23" s="1"/>
      <c r="D23" s="17" t="str">
        <f>IF(職業技能表!$A23="","",IF(MID(職業技能表!$A23,3,1)="A", "主動","被動"))</f>
        <v/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>
      <c r="A24" s="17"/>
      <c r="B24" s="46" t="str">
        <f>IF(職業技能表!$A24="","",VLOOKUP(LEFT(職業技能表!$A24,2),清單表!$B$2:$C$7,2,))</f>
        <v/>
      </c>
      <c r="C24" s="1"/>
      <c r="D24" s="17" t="str">
        <f>IF(職業技能表!$A24="","",IF(MID(職業技能表!$A24,3,1)="A", "主動","被動"))</f>
        <v/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>
      <c r="A25" s="17"/>
      <c r="B25" s="46" t="str">
        <f>IF(職業技能表!$A25="","",VLOOKUP(LEFT(職業技能表!$A25,2),清單表!$B$2:$C$7,2,))</f>
        <v/>
      </c>
      <c r="C25" s="1"/>
      <c r="D25" s="17" t="str">
        <f>IF(職業技能表!$A25="","",IF(MID(職業技能表!$A25,3,1)="A", "主動","被動"))</f>
        <v/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17"/>
      <c r="B26" s="46" t="str">
        <f>IF(職業技能表!$A26="","",VLOOKUP(LEFT(職業技能表!$A26,2),清單表!$B$2:$C$7,2,))</f>
        <v/>
      </c>
      <c r="C26" s="1"/>
      <c r="D26" s="17" t="str">
        <f>IF(職業技能表!$A26="","",IF(MID(職業技能表!$A26,3,1)="A", "主動","被動"))</f>
        <v/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>
      <c r="A27" s="17"/>
      <c r="B27" s="46" t="str">
        <f>IF(職業技能表!$A27="","",VLOOKUP(LEFT(職業技能表!$A27,2),清單表!$B$2:$C$7,2,))</f>
        <v/>
      </c>
      <c r="C27" s="1"/>
      <c r="D27" s="17" t="str">
        <f>IF(職業技能表!$A27="","",IF(MID(職業技能表!$A27,3,1)="A", "主動","被動"))</f>
        <v/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17"/>
      <c r="B28" s="46" t="str">
        <f>IF(職業技能表!$A28="","",VLOOKUP(LEFT(職業技能表!$A28,2),清單表!$B$2:$C$7,2,))</f>
        <v/>
      </c>
      <c r="C28" s="1"/>
      <c r="D28" s="17" t="str">
        <f>IF(職業技能表!$A28="","",IF(MID(職業技能表!$A28,3,1)="A", "主動","被動"))</f>
        <v/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4.2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4.2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4.2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4.2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4.2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4.2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4.2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4.2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4.2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</sheetData>
  <phoneticPr fontId="18" type="noConversion"/>
  <pageMargins left="0.75" right="0.75" top="1" bottom="1" header="0" footer="0"/>
  <pageSetup orientation="landscape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F7F7F"/>
  </sheetPr>
  <dimension ref="A1:E1000"/>
  <sheetViews>
    <sheetView workbookViewId="0">
      <selection activeCell="A10" sqref="A10"/>
    </sheetView>
  </sheetViews>
  <sheetFormatPr defaultColWidth="14.44140625" defaultRowHeight="15" customHeight="1"/>
  <cols>
    <col min="1" max="1" width="15.6640625" customWidth="1"/>
    <col min="2" max="3" width="8.6640625" customWidth="1"/>
    <col min="4" max="4" width="15" customWidth="1"/>
    <col min="5" max="5" width="10.6640625" customWidth="1"/>
    <col min="6" max="26" width="8.6640625" customWidth="1"/>
  </cols>
  <sheetData>
    <row r="1" spans="1:5" ht="14.25" customHeight="1">
      <c r="A1" s="26" t="s">
        <v>222</v>
      </c>
      <c r="B1" s="26" t="s">
        <v>54</v>
      </c>
      <c r="C1" s="27"/>
      <c r="D1" s="26" t="s">
        <v>85</v>
      </c>
      <c r="E1" s="28" t="s">
        <v>223</v>
      </c>
    </row>
    <row r="2" spans="1:5" ht="14.25" customHeight="1">
      <c r="A2" s="29" t="s">
        <v>33</v>
      </c>
      <c r="B2" s="29" t="s">
        <v>224</v>
      </c>
      <c r="C2" s="30" t="s">
        <v>225</v>
      </c>
      <c r="D2" s="29" t="s">
        <v>202</v>
      </c>
      <c r="E2" s="31" t="s">
        <v>226</v>
      </c>
    </row>
    <row r="3" spans="1:5" ht="14.25" customHeight="1">
      <c r="A3" s="29" t="s">
        <v>37</v>
      </c>
      <c r="B3" s="29" t="s">
        <v>227</v>
      </c>
      <c r="C3" s="30" t="s">
        <v>228</v>
      </c>
      <c r="D3" s="29" t="s">
        <v>229</v>
      </c>
      <c r="E3" s="31" t="s">
        <v>230</v>
      </c>
    </row>
    <row r="4" spans="1:5" ht="14.25" customHeight="1">
      <c r="A4" s="29" t="s">
        <v>50</v>
      </c>
      <c r="B4" s="29" t="s">
        <v>231</v>
      </c>
      <c r="C4" s="30" t="s">
        <v>232</v>
      </c>
      <c r="D4" s="32" t="s">
        <v>214</v>
      </c>
      <c r="E4" s="31" t="s">
        <v>233</v>
      </c>
    </row>
    <row r="5" spans="1:5" ht="14.25" customHeight="1">
      <c r="A5" s="29" t="s">
        <v>234</v>
      </c>
      <c r="B5" s="29" t="s">
        <v>235</v>
      </c>
      <c r="C5" s="30" t="s">
        <v>236</v>
      </c>
      <c r="E5" s="33" t="s">
        <v>237</v>
      </c>
    </row>
    <row r="6" spans="1:5" ht="14.25" customHeight="1">
      <c r="A6" s="29" t="s">
        <v>49</v>
      </c>
      <c r="B6" s="29" t="s">
        <v>238</v>
      </c>
      <c r="C6" s="30" t="s">
        <v>239</v>
      </c>
    </row>
    <row r="7" spans="1:5" ht="14.25" customHeight="1">
      <c r="A7" s="29" t="s">
        <v>240</v>
      </c>
      <c r="B7" s="32" t="s">
        <v>241</v>
      </c>
      <c r="C7" s="34" t="s">
        <v>242</v>
      </c>
    </row>
    <row r="8" spans="1:5" ht="14.25" customHeight="1">
      <c r="A8" s="31" t="s">
        <v>30</v>
      </c>
    </row>
    <row r="9" spans="1:5" ht="14.25" customHeight="1">
      <c r="A9" s="31" t="s">
        <v>245</v>
      </c>
    </row>
    <row r="10" spans="1:5" ht="14.25" customHeight="1">
      <c r="A10" s="31"/>
    </row>
    <row r="11" spans="1:5" ht="14.25" customHeight="1">
      <c r="A11" s="31"/>
    </row>
    <row r="12" spans="1:5" ht="14.25" customHeight="1">
      <c r="A12" s="31"/>
    </row>
    <row r="13" spans="1:5" ht="14.25" customHeight="1">
      <c r="A13" s="33"/>
    </row>
    <row r="14" spans="1:5" ht="14.25" customHeight="1"/>
    <row r="15" spans="1:5" ht="14.25" customHeight="1"/>
    <row r="16" spans="1:5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18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具名範圍</vt:lpstr>
      </vt:variant>
      <vt:variant>
        <vt:i4>2</vt:i4>
      </vt:variant>
    </vt:vector>
  </HeadingPairs>
  <TitlesOfParts>
    <vt:vector size="12" baseType="lpstr">
      <vt:lpstr>首頁</vt:lpstr>
      <vt:lpstr>角色狀態表</vt:lpstr>
      <vt:lpstr>任務列表</vt:lpstr>
      <vt:lpstr>技能狀態</vt:lpstr>
      <vt:lpstr>事件表</vt:lpstr>
      <vt:lpstr>怪物表</vt:lpstr>
      <vt:lpstr>紀錄頁面</vt:lpstr>
      <vt:lpstr>等級資料表</vt:lpstr>
      <vt:lpstr>職業技能表</vt:lpstr>
      <vt:lpstr>清單表</vt:lpstr>
      <vt:lpstr>任務狀態</vt:lpstr>
      <vt:lpstr>事件紀錄類型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Jialin</cp:lastModifiedBy>
  <cp:lastPrinted>2026-01-10T06:49:46Z</cp:lastPrinted>
  <dcterms:created xsi:type="dcterms:W3CDTF">2026-01-04T03:26:00Z</dcterms:created>
  <dcterms:modified xsi:type="dcterms:W3CDTF">2026-01-10T07:18:21Z</dcterms:modified>
</cp:coreProperties>
</file>